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📒 Ledger" sheetId="1" state="visible" r:id="rId1"/>
    <sheet xmlns:r="http://schemas.openxmlformats.org/officeDocument/2006/relationships" name="🧾 Invoices" sheetId="2" state="visible" r:id="rId2"/>
    <sheet xmlns:r="http://schemas.openxmlformats.org/officeDocument/2006/relationships" name="📊 Tax Calculator" sheetId="3" state="visible" r:id="rId3"/>
    <sheet xmlns:r="http://schemas.openxmlformats.org/officeDocument/2006/relationships" name="📐 Tax Brackets" sheetId="4" state="visible" r:id="rId4"/>
    <sheet xmlns:r="http://schemas.openxmlformats.org/officeDocument/2006/relationships" name="❓ Gestor Ques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DD/MM/YYYY"/>
    <numFmt numFmtId="165" formatCode="#,##0.00 €;(#,##0.00 €);&quot;-&quot;"/>
    <numFmt numFmtId="166" formatCode="0.0%"/>
    <numFmt numFmtId="167" formatCode="#,##0 €;(#,##0 €);&quot;-&quot;"/>
    <numFmt numFmtId="168" formatCode="#,##0 €"/>
    <numFmt numFmtId="169" formatCode="#,##0.00 €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i val="1"/>
      <sz val="9"/>
    </font>
    <font>
      <name val="Arial"/>
      <color rgb="00000000"/>
      <sz val="10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888888"/>
      <sz val="9"/>
    </font>
  </fonts>
  <fills count="10">
    <fill>
      <patternFill/>
    </fill>
    <fill>
      <patternFill patternType="gray125"/>
    </fill>
    <fill>
      <patternFill patternType="solid">
        <fgColor rgb="001A3C34"/>
      </patternFill>
    </fill>
    <fill>
      <patternFill patternType="solid">
        <fgColor rgb="002D6A4F"/>
      </patternFill>
    </fill>
    <fill>
      <patternFill patternType="solid">
        <fgColor rgb="00F4F4F4"/>
      </patternFill>
    </fill>
    <fill>
      <patternFill patternType="solid">
        <fgColor rgb="00FFFFFF"/>
      </patternFill>
    </fill>
    <fill>
      <patternFill patternType="solid">
        <fgColor rgb="00D8F3DC"/>
      </patternFill>
    </fill>
    <fill>
      <patternFill patternType="solid">
        <fgColor rgb="00FFE0E0"/>
      </patternFill>
    </fill>
    <fill>
      <patternFill patternType="solid">
        <fgColor rgb="00FFF3CD"/>
      </patternFill>
    </fill>
    <fill>
      <patternFill patternType="solid">
        <fgColor rgb="0052B788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164" fontId="4" fillId="4" borderId="1" pivotButton="0" quotePrefix="0" xfId="0"/>
    <xf numFmtId="0" fontId="4" fillId="4" borderId="1" pivotButton="0" quotePrefix="0" xfId="0"/>
    <xf numFmtId="165" fontId="5" fillId="4" borderId="1" pivotButton="0" quotePrefix="0" xfId="0"/>
    <xf numFmtId="0" fontId="4" fillId="4" borderId="1" applyAlignment="1" pivotButton="0" quotePrefix="0" xfId="0">
      <alignment horizontal="center"/>
    </xf>
    <xf numFmtId="164" fontId="4" fillId="5" borderId="1" pivotButton="0" quotePrefix="0" xfId="0"/>
    <xf numFmtId="0" fontId="4" fillId="5" borderId="1" pivotButton="0" quotePrefix="0" xfId="0"/>
    <xf numFmtId="165" fontId="5" fillId="5" borderId="1" pivotButton="0" quotePrefix="0" xfId="0"/>
    <xf numFmtId="0" fontId="4" fillId="5" borderId="1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/>
    </xf>
    <xf numFmtId="165" fontId="6" fillId="6" borderId="1" pivotButton="0" quotePrefix="0" xfId="0"/>
    <xf numFmtId="165" fontId="6" fillId="7" borderId="1" pivotButton="0" quotePrefix="0" xfId="0"/>
    <xf numFmtId="0" fontId="6" fillId="6" borderId="1" pivotButton="0" quotePrefix="0" xfId="0"/>
    <xf numFmtId="0" fontId="3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65" fontId="4" fillId="0" borderId="1" pivotButton="0" quotePrefix="0" xfId="0"/>
    <xf numFmtId="0" fontId="8" fillId="8" borderId="0" pivotButton="0" quotePrefix="0" xfId="0"/>
    <xf numFmtId="166" fontId="5" fillId="4" borderId="1" pivotButton="0" quotePrefix="0" xfId="0"/>
    <xf numFmtId="165" fontId="4" fillId="4" borderId="1" pivotButton="0" quotePrefix="0" xfId="0"/>
    <xf numFmtId="165" fontId="6" fillId="4" borderId="1" pivotButton="0" quotePrefix="0" xfId="0"/>
    <xf numFmtId="166" fontId="5" fillId="5" borderId="1" pivotButton="0" quotePrefix="0" xfId="0"/>
    <xf numFmtId="165" fontId="4" fillId="5" borderId="1" pivotButton="0" quotePrefix="0" xfId="0"/>
    <xf numFmtId="165" fontId="6" fillId="5" borderId="1" pivotButton="0" quotePrefix="0" xfId="0"/>
    <xf numFmtId="0" fontId="9" fillId="5" borderId="1" applyAlignment="1" pivotButton="0" quotePrefix="0" xfId="0">
      <alignment horizontal="left" vertical="center"/>
    </xf>
    <xf numFmtId="165" fontId="4" fillId="5" borderId="1" applyAlignment="1" pivotButton="0" quotePrefix="0" xfId="0">
      <alignment horizontal="right"/>
    </xf>
    <xf numFmtId="0" fontId="9" fillId="4" borderId="1" applyAlignment="1" pivotButton="0" quotePrefix="0" xfId="0">
      <alignment horizontal="left" vertical="center"/>
    </xf>
    <xf numFmtId="165" fontId="4" fillId="4" borderId="1" applyAlignment="1" pivotButton="0" quotePrefix="0" xfId="0">
      <alignment horizontal="right"/>
    </xf>
    <xf numFmtId="0" fontId="7" fillId="5" borderId="1" applyAlignment="1" pivotButton="0" quotePrefix="0" xfId="0">
      <alignment horizontal="left" vertical="center"/>
    </xf>
    <xf numFmtId="165" fontId="6" fillId="5" borderId="1" applyAlignment="1" pivotButton="0" quotePrefix="0" xfId="0">
      <alignment horizontal="right"/>
    </xf>
    <xf numFmtId="165" fontId="6" fillId="6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0" fontId="10" fillId="0" borderId="0" pivotButton="0" quotePrefix="0" xfId="0"/>
    <xf numFmtId="0" fontId="5" fillId="5" borderId="1" applyAlignment="1" pivotButton="0" quotePrefix="0" xfId="0">
      <alignment horizontal="right"/>
    </xf>
    <xf numFmtId="0" fontId="9" fillId="4" borderId="1" applyAlignment="1" pivotButton="0" quotePrefix="0" xfId="0">
      <alignment horizontal="right"/>
    </xf>
    <xf numFmtId="0" fontId="9" fillId="5" borderId="1" applyAlignment="1" pivotButton="0" quotePrefix="0" xfId="0">
      <alignment horizontal="right"/>
    </xf>
    <xf numFmtId="0" fontId="0" fillId="0" borderId="1" pivotButton="0" quotePrefix="0" xfId="0"/>
    <xf numFmtId="0" fontId="6" fillId="5" borderId="1" pivotButton="0" quotePrefix="0" xfId="0"/>
    <xf numFmtId="0" fontId="7" fillId="4" borderId="1" applyAlignment="1" pivotButton="0" quotePrefix="0" xfId="0">
      <alignment horizontal="left" vertical="center"/>
    </xf>
    <xf numFmtId="0" fontId="6" fillId="4" borderId="1" pivotButton="0" quotePrefix="0" xfId="0"/>
    <xf numFmtId="0" fontId="7" fillId="8" borderId="1" applyAlignment="1" pivotButton="0" quotePrefix="0" xfId="0">
      <alignment horizontal="left" vertical="center"/>
    </xf>
    <xf numFmtId="0" fontId="6" fillId="8" borderId="1" pivotButton="0" quotePrefix="0" xfId="0"/>
    <xf numFmtId="0" fontId="4" fillId="8" borderId="1" pivotButton="0" quotePrefix="0" xfId="0"/>
    <xf numFmtId="0" fontId="11" fillId="3" borderId="0" applyAlignment="1" pivotButton="0" quotePrefix="0" xfId="0">
      <alignment horizontal="center" vertical="center"/>
    </xf>
    <xf numFmtId="168" fontId="9" fillId="4" borderId="1" applyAlignment="1" pivotButton="0" quotePrefix="0" xfId="0">
      <alignment horizontal="right" vertical="center"/>
    </xf>
    <xf numFmtId="169" fontId="9" fillId="4" borderId="1" applyAlignment="1" pivotButton="0" quotePrefix="0" xfId="0">
      <alignment horizontal="right" vertical="center"/>
    </xf>
    <xf numFmtId="166" fontId="9" fillId="4" borderId="1" applyAlignment="1" pivotButton="0" quotePrefix="0" xfId="0">
      <alignment horizontal="right" vertical="center"/>
    </xf>
    <xf numFmtId="168" fontId="9" fillId="5" borderId="1" applyAlignment="1" pivotButton="0" quotePrefix="0" xfId="0">
      <alignment horizontal="right" vertical="center"/>
    </xf>
    <xf numFmtId="169" fontId="9" fillId="5" borderId="1" applyAlignment="1" pivotButton="0" quotePrefix="0" xfId="0">
      <alignment horizontal="right" vertical="center"/>
    </xf>
    <xf numFmtId="166" fontId="9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right" vertical="center"/>
    </xf>
    <xf numFmtId="168" fontId="9" fillId="5" borderId="0" applyAlignment="1" pivotButton="0" quotePrefix="0" xfId="0">
      <alignment horizontal="right" vertical="center"/>
    </xf>
    <xf numFmtId="0" fontId="9" fillId="5" borderId="0" applyAlignment="1" pivotButton="0" quotePrefix="0" xfId="0">
      <alignment horizontal="right" vertical="center"/>
    </xf>
    <xf numFmtId="166" fontId="9" fillId="5" borderId="0" applyAlignment="1" pivotButton="0" quotePrefix="0" xfId="0">
      <alignment horizontal="right" vertical="center"/>
    </xf>
    <xf numFmtId="0" fontId="11" fillId="2" borderId="0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166" fontId="4" fillId="5" borderId="1" applyAlignment="1" pivotButton="0" quotePrefix="0" xfId="0">
      <alignment horizontal="right"/>
    </xf>
    <xf numFmtId="0" fontId="3" fillId="9" borderId="0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top" wrapText="1"/>
    </xf>
    <xf numFmtId="0" fontId="0" fillId="8" borderId="1" pivotButton="0" quotePrefix="0" xfId="0"/>
    <xf numFmtId="0" fontId="0" fillId="5" borderId="1" applyAlignment="1" pivotButton="0" quotePrefix="0" xfId="0">
      <alignment horizontal="center"/>
    </xf>
    <xf numFmtId="0" fontId="12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22" customWidth="1" min="4" max="4"/>
    <col width="14" customWidth="1" min="5" max="5"/>
    <col width="14" customWidth="1" min="6" max="6"/>
    <col width="14" customWidth="1" min="7" max="7"/>
    <col width="10" customWidth="1" min="8" max="8"/>
    <col width="30" customWidth="1" min="9" max="9"/>
  </cols>
  <sheetData>
    <row r="1" ht="30" customHeight="1">
      <c r="A1" s="1" t="inlineStr">
        <is>
          <t>MR MALLORCA GOLF — AUTÓNOMO INCOME &amp; EXPENSE LEDGER 2026</t>
        </is>
      </c>
    </row>
    <row r="2" ht="14" customHeight="1">
      <c r="A2" s="2" t="inlineStr">
        <is>
          <t>Andy Griffiths · NIE Z1985059A · CNAE 8551 · IAE 826 · Alta 26/05/2026</t>
        </is>
      </c>
    </row>
    <row r="4" ht="28" customHeight="1">
      <c r="A4" s="3" t="inlineStr">
        <is>
          <t>Date</t>
        </is>
      </c>
      <c r="B4" s="3" t="inlineStr">
        <is>
          <t>Invoice #</t>
        </is>
      </c>
      <c r="C4" s="3" t="inlineStr">
        <is>
          <t>Client / Supplier</t>
        </is>
      </c>
      <c r="D4" s="3" t="inlineStr">
        <is>
          <t>Description</t>
        </is>
      </c>
      <c r="E4" s="3" t="inlineStr">
        <is>
          <t>Income (€)</t>
        </is>
      </c>
      <c r="F4" s="3" t="inlineStr">
        <is>
          <t>Expense (€)</t>
        </is>
      </c>
      <c r="G4" s="3" t="inlineStr">
        <is>
          <t>Quarter</t>
        </is>
      </c>
      <c r="H4" s="3" t="inlineStr">
        <is>
          <t>Receipt?</t>
        </is>
      </c>
      <c r="I4" s="3" t="inlineStr">
        <is>
          <t>Notes</t>
        </is>
      </c>
    </row>
    <row r="5" ht="18" customHeight="1">
      <c r="A5" s="4" t="n"/>
      <c r="B5" s="5" t="n"/>
      <c r="C5" s="5" t="n"/>
      <c r="D5" s="5" t="n"/>
      <c r="E5" s="6" t="n"/>
      <c r="F5" s="6" t="n"/>
      <c r="G5" s="7">
        <f>IF(A5="","",IF(MONTH(A5)&lt;=3,"Q1",IF(MONTH(A5)&lt;=6,"Q2",IF(MONTH(A5)&lt;=9,"Q3","Q4"))))</f>
        <v/>
      </c>
      <c r="H5" s="5" t="n"/>
      <c r="I5" s="5" t="n"/>
    </row>
    <row r="6" ht="18" customHeight="1">
      <c r="A6" s="8" t="n"/>
      <c r="B6" s="9" t="n"/>
      <c r="C6" s="9" t="n"/>
      <c r="D6" s="9" t="n"/>
      <c r="E6" s="10" t="n"/>
      <c r="F6" s="10" t="n"/>
      <c r="G6" s="11">
        <f>IF(A6="","",IF(MONTH(A6)&lt;=3,"Q1",IF(MONTH(A6)&lt;=6,"Q2",IF(MONTH(A6)&lt;=9,"Q3","Q4"))))</f>
        <v/>
      </c>
      <c r="H6" s="9" t="n"/>
      <c r="I6" s="9" t="n"/>
    </row>
    <row r="7" ht="18" customHeight="1">
      <c r="A7" s="4" t="n"/>
      <c r="B7" s="5" t="n"/>
      <c r="C7" s="5" t="n"/>
      <c r="D7" s="5" t="n"/>
      <c r="E7" s="6" t="n"/>
      <c r="F7" s="6" t="n"/>
      <c r="G7" s="7">
        <f>IF(A7="","",IF(MONTH(A7)&lt;=3,"Q1",IF(MONTH(A7)&lt;=6,"Q2",IF(MONTH(A7)&lt;=9,"Q3","Q4"))))</f>
        <v/>
      </c>
      <c r="H7" s="5" t="n"/>
      <c r="I7" s="5" t="n"/>
    </row>
    <row r="8" ht="18" customHeight="1">
      <c r="A8" s="8" t="n"/>
      <c r="B8" s="9" t="n"/>
      <c r="C8" s="9" t="n"/>
      <c r="D8" s="9" t="n"/>
      <c r="E8" s="10" t="n"/>
      <c r="F8" s="10" t="n"/>
      <c r="G8" s="11">
        <f>IF(A8="","",IF(MONTH(A8)&lt;=3,"Q1",IF(MONTH(A8)&lt;=6,"Q2",IF(MONTH(A8)&lt;=9,"Q3","Q4"))))</f>
        <v/>
      </c>
      <c r="H8" s="9" t="n"/>
      <c r="I8" s="9" t="n"/>
    </row>
    <row r="9" ht="18" customHeight="1">
      <c r="A9" s="4" t="n"/>
      <c r="B9" s="5" t="n"/>
      <c r="C9" s="5" t="n"/>
      <c r="D9" s="5" t="n"/>
      <c r="E9" s="6" t="n"/>
      <c r="F9" s="6" t="n"/>
      <c r="G9" s="7">
        <f>IF(A9="","",IF(MONTH(A9)&lt;=3,"Q1",IF(MONTH(A9)&lt;=6,"Q2",IF(MONTH(A9)&lt;=9,"Q3","Q4"))))</f>
        <v/>
      </c>
      <c r="H9" s="5" t="n"/>
      <c r="I9" s="5" t="n"/>
    </row>
    <row r="10" ht="18" customHeight="1">
      <c r="A10" s="8" t="n"/>
      <c r="B10" s="9" t="n"/>
      <c r="C10" s="9" t="n"/>
      <c r="D10" s="9" t="n"/>
      <c r="E10" s="10" t="n"/>
      <c r="F10" s="10" t="n"/>
      <c r="G10" s="11">
        <f>IF(A10="","",IF(MONTH(A10)&lt;=3,"Q1",IF(MONTH(A10)&lt;=6,"Q2",IF(MONTH(A10)&lt;=9,"Q3","Q4"))))</f>
        <v/>
      </c>
      <c r="H10" s="9" t="n"/>
      <c r="I10" s="9" t="n"/>
    </row>
    <row r="11" ht="18" customHeight="1">
      <c r="A11" s="4" t="n"/>
      <c r="B11" s="5" t="n"/>
      <c r="C11" s="5" t="n"/>
      <c r="D11" s="5" t="n"/>
      <c r="E11" s="6" t="n"/>
      <c r="F11" s="6" t="n"/>
      <c r="G11" s="7">
        <f>IF(A11="","",IF(MONTH(A11)&lt;=3,"Q1",IF(MONTH(A11)&lt;=6,"Q2",IF(MONTH(A11)&lt;=9,"Q3","Q4"))))</f>
        <v/>
      </c>
      <c r="H11" s="5" t="n"/>
      <c r="I11" s="5" t="n"/>
    </row>
    <row r="12" ht="18" customHeight="1">
      <c r="A12" s="8" t="n"/>
      <c r="B12" s="9" t="n"/>
      <c r="C12" s="9" t="n"/>
      <c r="D12" s="9" t="n"/>
      <c r="E12" s="10" t="n"/>
      <c r="F12" s="10" t="n"/>
      <c r="G12" s="11">
        <f>IF(A12="","",IF(MONTH(A12)&lt;=3,"Q1",IF(MONTH(A12)&lt;=6,"Q2",IF(MONTH(A12)&lt;=9,"Q3","Q4"))))</f>
        <v/>
      </c>
      <c r="H12" s="9" t="n"/>
      <c r="I12" s="9" t="n"/>
    </row>
    <row r="13" ht="18" customHeight="1">
      <c r="A13" s="4" t="n"/>
      <c r="B13" s="5" t="n"/>
      <c r="C13" s="5" t="n"/>
      <c r="D13" s="5" t="n"/>
      <c r="E13" s="6" t="n"/>
      <c r="F13" s="6" t="n"/>
      <c r="G13" s="7">
        <f>IF(A13="","",IF(MONTH(A13)&lt;=3,"Q1",IF(MONTH(A13)&lt;=6,"Q2",IF(MONTH(A13)&lt;=9,"Q3","Q4"))))</f>
        <v/>
      </c>
      <c r="H13" s="5" t="n"/>
      <c r="I13" s="5" t="n"/>
    </row>
    <row r="14" ht="18" customHeight="1">
      <c r="A14" s="8" t="n"/>
      <c r="B14" s="9" t="n"/>
      <c r="C14" s="9" t="n"/>
      <c r="D14" s="9" t="n"/>
      <c r="E14" s="10" t="n"/>
      <c r="F14" s="10" t="n"/>
      <c r="G14" s="11">
        <f>IF(A14="","",IF(MONTH(A14)&lt;=3,"Q1",IF(MONTH(A14)&lt;=6,"Q2",IF(MONTH(A14)&lt;=9,"Q3","Q4"))))</f>
        <v/>
      </c>
      <c r="H14" s="9" t="n"/>
      <c r="I14" s="9" t="n"/>
    </row>
    <row r="15" ht="18" customHeight="1">
      <c r="A15" s="4" t="n"/>
      <c r="B15" s="5" t="n"/>
      <c r="C15" s="5" t="n"/>
      <c r="D15" s="5" t="n"/>
      <c r="E15" s="6" t="n"/>
      <c r="F15" s="6" t="n"/>
      <c r="G15" s="7">
        <f>IF(A15="","",IF(MONTH(A15)&lt;=3,"Q1",IF(MONTH(A15)&lt;=6,"Q2",IF(MONTH(A15)&lt;=9,"Q3","Q4"))))</f>
        <v/>
      </c>
      <c r="H15" s="5" t="n"/>
      <c r="I15" s="5" t="n"/>
    </row>
    <row r="16" ht="18" customHeight="1">
      <c r="A16" s="8" t="n"/>
      <c r="B16" s="9" t="n"/>
      <c r="C16" s="9" t="n"/>
      <c r="D16" s="9" t="n"/>
      <c r="E16" s="10" t="n"/>
      <c r="F16" s="10" t="n"/>
      <c r="G16" s="11">
        <f>IF(A16="","",IF(MONTH(A16)&lt;=3,"Q1",IF(MONTH(A16)&lt;=6,"Q2",IF(MONTH(A16)&lt;=9,"Q3","Q4"))))</f>
        <v/>
      </c>
      <c r="H16" s="9" t="n"/>
      <c r="I16" s="9" t="n"/>
    </row>
    <row r="17" ht="18" customHeight="1">
      <c r="A17" s="4" t="n"/>
      <c r="B17" s="5" t="n"/>
      <c r="C17" s="5" t="n"/>
      <c r="D17" s="5" t="n"/>
      <c r="E17" s="6" t="n"/>
      <c r="F17" s="6" t="n"/>
      <c r="G17" s="7">
        <f>IF(A17="","",IF(MONTH(A17)&lt;=3,"Q1",IF(MONTH(A17)&lt;=6,"Q2",IF(MONTH(A17)&lt;=9,"Q3","Q4"))))</f>
        <v/>
      </c>
      <c r="H17" s="5" t="n"/>
      <c r="I17" s="5" t="n"/>
    </row>
    <row r="18" ht="18" customHeight="1">
      <c r="A18" s="8" t="n"/>
      <c r="B18" s="9" t="n"/>
      <c r="C18" s="9" t="n"/>
      <c r="D18" s="9" t="n"/>
      <c r="E18" s="10" t="n"/>
      <c r="F18" s="10" t="n"/>
      <c r="G18" s="11">
        <f>IF(A18="","",IF(MONTH(A18)&lt;=3,"Q1",IF(MONTH(A18)&lt;=6,"Q2",IF(MONTH(A18)&lt;=9,"Q3","Q4"))))</f>
        <v/>
      </c>
      <c r="H18" s="9" t="n"/>
      <c r="I18" s="9" t="n"/>
    </row>
    <row r="19" ht="18" customHeight="1">
      <c r="A19" s="4" t="n"/>
      <c r="B19" s="5" t="n"/>
      <c r="C19" s="5" t="n"/>
      <c r="D19" s="5" t="n"/>
      <c r="E19" s="6" t="n"/>
      <c r="F19" s="6" t="n"/>
      <c r="G19" s="7">
        <f>IF(A19="","",IF(MONTH(A19)&lt;=3,"Q1",IF(MONTH(A19)&lt;=6,"Q2",IF(MONTH(A19)&lt;=9,"Q3","Q4"))))</f>
        <v/>
      </c>
      <c r="H19" s="5" t="n"/>
      <c r="I19" s="5" t="n"/>
    </row>
    <row r="20" ht="18" customHeight="1">
      <c r="A20" s="8" t="n"/>
      <c r="B20" s="9" t="n"/>
      <c r="C20" s="9" t="n"/>
      <c r="D20" s="9" t="n"/>
      <c r="E20" s="10" t="n"/>
      <c r="F20" s="10" t="n"/>
      <c r="G20" s="11">
        <f>IF(A20="","",IF(MONTH(A20)&lt;=3,"Q1",IF(MONTH(A20)&lt;=6,"Q2",IF(MONTH(A20)&lt;=9,"Q3","Q4"))))</f>
        <v/>
      </c>
      <c r="H20" s="9" t="n"/>
      <c r="I20" s="9" t="n"/>
    </row>
    <row r="21" ht="18" customHeight="1">
      <c r="A21" s="4" t="n"/>
      <c r="B21" s="5" t="n"/>
      <c r="C21" s="5" t="n"/>
      <c r="D21" s="5" t="n"/>
      <c r="E21" s="6" t="n"/>
      <c r="F21" s="6" t="n"/>
      <c r="G21" s="7">
        <f>IF(A21="","",IF(MONTH(A21)&lt;=3,"Q1",IF(MONTH(A21)&lt;=6,"Q2",IF(MONTH(A21)&lt;=9,"Q3","Q4"))))</f>
        <v/>
      </c>
      <c r="H21" s="5" t="n"/>
      <c r="I21" s="5" t="n"/>
    </row>
    <row r="22" ht="18" customHeight="1">
      <c r="A22" s="8" t="n"/>
      <c r="B22" s="9" t="n"/>
      <c r="C22" s="9" t="n"/>
      <c r="D22" s="9" t="n"/>
      <c r="E22" s="10" t="n"/>
      <c r="F22" s="10" t="n"/>
      <c r="G22" s="11">
        <f>IF(A22="","",IF(MONTH(A22)&lt;=3,"Q1",IF(MONTH(A22)&lt;=6,"Q2",IF(MONTH(A22)&lt;=9,"Q3","Q4"))))</f>
        <v/>
      </c>
      <c r="H22" s="9" t="n"/>
      <c r="I22" s="9" t="n"/>
    </row>
    <row r="23" ht="18" customHeight="1">
      <c r="A23" s="4" t="n"/>
      <c r="B23" s="5" t="n"/>
      <c r="C23" s="5" t="n"/>
      <c r="D23" s="5" t="n"/>
      <c r="E23" s="6" t="n"/>
      <c r="F23" s="6" t="n"/>
      <c r="G23" s="7">
        <f>IF(A23="","",IF(MONTH(A23)&lt;=3,"Q1",IF(MONTH(A23)&lt;=6,"Q2",IF(MONTH(A23)&lt;=9,"Q3","Q4"))))</f>
        <v/>
      </c>
      <c r="H23" s="5" t="n"/>
      <c r="I23" s="5" t="n"/>
    </row>
    <row r="24" ht="18" customHeight="1">
      <c r="A24" s="8" t="n"/>
      <c r="B24" s="9" t="n"/>
      <c r="C24" s="9" t="n"/>
      <c r="D24" s="9" t="n"/>
      <c r="E24" s="10" t="n"/>
      <c r="F24" s="10" t="n"/>
      <c r="G24" s="11">
        <f>IF(A24="","",IF(MONTH(A24)&lt;=3,"Q1",IF(MONTH(A24)&lt;=6,"Q2",IF(MONTH(A24)&lt;=9,"Q3","Q4"))))</f>
        <v/>
      </c>
      <c r="H24" s="9" t="n"/>
      <c r="I24" s="9" t="n"/>
    </row>
    <row r="25" ht="18" customHeight="1">
      <c r="A25" s="4" t="n"/>
      <c r="B25" s="5" t="n"/>
      <c r="C25" s="5" t="n"/>
      <c r="D25" s="5" t="n"/>
      <c r="E25" s="6" t="n"/>
      <c r="F25" s="6" t="n"/>
      <c r="G25" s="7">
        <f>IF(A25="","",IF(MONTH(A25)&lt;=3,"Q1",IF(MONTH(A25)&lt;=6,"Q2",IF(MONTH(A25)&lt;=9,"Q3","Q4"))))</f>
        <v/>
      </c>
      <c r="H25" s="5" t="n"/>
      <c r="I25" s="5" t="n"/>
    </row>
    <row r="26" ht="18" customHeight="1">
      <c r="A26" s="8" t="n"/>
      <c r="B26" s="9" t="n"/>
      <c r="C26" s="9" t="n"/>
      <c r="D26" s="9" t="n"/>
      <c r="E26" s="10" t="n"/>
      <c r="F26" s="10" t="n"/>
      <c r="G26" s="11">
        <f>IF(A26="","",IF(MONTH(A26)&lt;=3,"Q1",IF(MONTH(A26)&lt;=6,"Q2",IF(MONTH(A26)&lt;=9,"Q3","Q4"))))</f>
        <v/>
      </c>
      <c r="H26" s="9" t="n"/>
      <c r="I26" s="9" t="n"/>
    </row>
    <row r="27" ht="18" customHeight="1">
      <c r="A27" s="4" t="n"/>
      <c r="B27" s="5" t="n"/>
      <c r="C27" s="5" t="n"/>
      <c r="D27" s="5" t="n"/>
      <c r="E27" s="6" t="n"/>
      <c r="F27" s="6" t="n"/>
      <c r="G27" s="7">
        <f>IF(A27="","",IF(MONTH(A27)&lt;=3,"Q1",IF(MONTH(A27)&lt;=6,"Q2",IF(MONTH(A27)&lt;=9,"Q3","Q4"))))</f>
        <v/>
      </c>
      <c r="H27" s="5" t="n"/>
      <c r="I27" s="5" t="n"/>
    </row>
    <row r="28" ht="18" customHeight="1">
      <c r="A28" s="8" t="n"/>
      <c r="B28" s="9" t="n"/>
      <c r="C28" s="9" t="n"/>
      <c r="D28" s="9" t="n"/>
      <c r="E28" s="10" t="n"/>
      <c r="F28" s="10" t="n"/>
      <c r="G28" s="11">
        <f>IF(A28="","",IF(MONTH(A28)&lt;=3,"Q1",IF(MONTH(A28)&lt;=6,"Q2",IF(MONTH(A28)&lt;=9,"Q3","Q4"))))</f>
        <v/>
      </c>
      <c r="H28" s="9" t="n"/>
      <c r="I28" s="9" t="n"/>
    </row>
    <row r="29" ht="18" customHeight="1">
      <c r="A29" s="4" t="n"/>
      <c r="B29" s="5" t="n"/>
      <c r="C29" s="5" t="n"/>
      <c r="D29" s="5" t="n"/>
      <c r="E29" s="6" t="n"/>
      <c r="F29" s="6" t="n"/>
      <c r="G29" s="7">
        <f>IF(A29="","",IF(MONTH(A29)&lt;=3,"Q1",IF(MONTH(A29)&lt;=6,"Q2",IF(MONTH(A29)&lt;=9,"Q3","Q4"))))</f>
        <v/>
      </c>
      <c r="H29" s="5" t="n"/>
      <c r="I29" s="5" t="n"/>
    </row>
    <row r="30" ht="18" customHeight="1">
      <c r="A30" s="8" t="n"/>
      <c r="B30" s="9" t="n"/>
      <c r="C30" s="9" t="n"/>
      <c r="D30" s="9" t="n"/>
      <c r="E30" s="10" t="n"/>
      <c r="F30" s="10" t="n"/>
      <c r="G30" s="11">
        <f>IF(A30="","",IF(MONTH(A30)&lt;=3,"Q1",IF(MONTH(A30)&lt;=6,"Q2",IF(MONTH(A30)&lt;=9,"Q3","Q4"))))</f>
        <v/>
      </c>
      <c r="H30" s="9" t="n"/>
      <c r="I30" s="9" t="n"/>
    </row>
    <row r="31" ht="18" customHeight="1">
      <c r="A31" s="4" t="n"/>
      <c r="B31" s="5" t="n"/>
      <c r="C31" s="5" t="n"/>
      <c r="D31" s="5" t="n"/>
      <c r="E31" s="6" t="n"/>
      <c r="F31" s="6" t="n"/>
      <c r="G31" s="7">
        <f>IF(A31="","",IF(MONTH(A31)&lt;=3,"Q1",IF(MONTH(A31)&lt;=6,"Q2",IF(MONTH(A31)&lt;=9,"Q3","Q4"))))</f>
        <v/>
      </c>
      <c r="H31" s="5" t="n"/>
      <c r="I31" s="5" t="n"/>
    </row>
    <row r="32" ht="18" customHeight="1">
      <c r="A32" s="8" t="n"/>
      <c r="B32" s="9" t="n"/>
      <c r="C32" s="9" t="n"/>
      <c r="D32" s="9" t="n"/>
      <c r="E32" s="10" t="n"/>
      <c r="F32" s="10" t="n"/>
      <c r="G32" s="11">
        <f>IF(A32="","",IF(MONTH(A32)&lt;=3,"Q1",IF(MONTH(A32)&lt;=6,"Q2",IF(MONTH(A32)&lt;=9,"Q3","Q4"))))</f>
        <v/>
      </c>
      <c r="H32" s="9" t="n"/>
      <c r="I32" s="9" t="n"/>
    </row>
    <row r="33" ht="18" customHeight="1">
      <c r="A33" s="4" t="n"/>
      <c r="B33" s="5" t="n"/>
      <c r="C33" s="5" t="n"/>
      <c r="D33" s="5" t="n"/>
      <c r="E33" s="6" t="n"/>
      <c r="F33" s="6" t="n"/>
      <c r="G33" s="7">
        <f>IF(A33="","",IF(MONTH(A33)&lt;=3,"Q1",IF(MONTH(A33)&lt;=6,"Q2",IF(MONTH(A33)&lt;=9,"Q3","Q4"))))</f>
        <v/>
      </c>
      <c r="H33" s="5" t="n"/>
      <c r="I33" s="5" t="n"/>
    </row>
    <row r="34" ht="18" customHeight="1">
      <c r="A34" s="8" t="n"/>
      <c r="B34" s="9" t="n"/>
      <c r="C34" s="9" t="n"/>
      <c r="D34" s="9" t="n"/>
      <c r="E34" s="10" t="n"/>
      <c r="F34" s="10" t="n"/>
      <c r="G34" s="11">
        <f>IF(A34="","",IF(MONTH(A34)&lt;=3,"Q1",IF(MONTH(A34)&lt;=6,"Q2",IF(MONTH(A34)&lt;=9,"Q3","Q4"))))</f>
        <v/>
      </c>
      <c r="H34" s="9" t="n"/>
      <c r="I34" s="9" t="n"/>
    </row>
    <row r="35" ht="18" customHeight="1">
      <c r="A35" s="4" t="n"/>
      <c r="B35" s="5" t="n"/>
      <c r="C35" s="5" t="n"/>
      <c r="D35" s="5" t="n"/>
      <c r="E35" s="6" t="n"/>
      <c r="F35" s="6" t="n"/>
      <c r="G35" s="7">
        <f>IF(A35="","",IF(MONTH(A35)&lt;=3,"Q1",IF(MONTH(A35)&lt;=6,"Q2",IF(MONTH(A35)&lt;=9,"Q3","Q4"))))</f>
        <v/>
      </c>
      <c r="H35" s="5" t="n"/>
      <c r="I35" s="5" t="n"/>
    </row>
    <row r="36" ht="18" customHeight="1">
      <c r="A36" s="8" t="n"/>
      <c r="B36" s="9" t="n"/>
      <c r="C36" s="9" t="n"/>
      <c r="D36" s="9" t="n"/>
      <c r="E36" s="10" t="n"/>
      <c r="F36" s="10" t="n"/>
      <c r="G36" s="11">
        <f>IF(A36="","",IF(MONTH(A36)&lt;=3,"Q1",IF(MONTH(A36)&lt;=6,"Q2",IF(MONTH(A36)&lt;=9,"Q3","Q4"))))</f>
        <v/>
      </c>
      <c r="H36" s="9" t="n"/>
      <c r="I36" s="9" t="n"/>
    </row>
    <row r="37" ht="18" customHeight="1">
      <c r="A37" s="4" t="n"/>
      <c r="B37" s="5" t="n"/>
      <c r="C37" s="5" t="n"/>
      <c r="D37" s="5" t="n"/>
      <c r="E37" s="6" t="n"/>
      <c r="F37" s="6" t="n"/>
      <c r="G37" s="7">
        <f>IF(A37="","",IF(MONTH(A37)&lt;=3,"Q1",IF(MONTH(A37)&lt;=6,"Q2",IF(MONTH(A37)&lt;=9,"Q3","Q4"))))</f>
        <v/>
      </c>
      <c r="H37" s="5" t="n"/>
      <c r="I37" s="5" t="n"/>
    </row>
    <row r="38" ht="18" customHeight="1">
      <c r="A38" s="8" t="n"/>
      <c r="B38" s="9" t="n"/>
      <c r="C38" s="9" t="n"/>
      <c r="D38" s="9" t="n"/>
      <c r="E38" s="10" t="n"/>
      <c r="F38" s="10" t="n"/>
      <c r="G38" s="11">
        <f>IF(A38="","",IF(MONTH(A38)&lt;=3,"Q1",IF(MONTH(A38)&lt;=6,"Q2",IF(MONTH(A38)&lt;=9,"Q3","Q4"))))</f>
        <v/>
      </c>
      <c r="H38" s="9" t="n"/>
      <c r="I38" s="9" t="n"/>
    </row>
    <row r="39" ht="18" customHeight="1">
      <c r="A39" s="4" t="n"/>
      <c r="B39" s="5" t="n"/>
      <c r="C39" s="5" t="n"/>
      <c r="D39" s="5" t="n"/>
      <c r="E39" s="6" t="n"/>
      <c r="F39" s="6" t="n"/>
      <c r="G39" s="7">
        <f>IF(A39="","",IF(MONTH(A39)&lt;=3,"Q1",IF(MONTH(A39)&lt;=6,"Q2",IF(MONTH(A39)&lt;=9,"Q3","Q4"))))</f>
        <v/>
      </c>
      <c r="H39" s="5" t="n"/>
      <c r="I39" s="5" t="n"/>
    </row>
    <row r="40" ht="18" customHeight="1">
      <c r="A40" s="8" t="n"/>
      <c r="B40" s="9" t="n"/>
      <c r="C40" s="9" t="n"/>
      <c r="D40" s="9" t="n"/>
      <c r="E40" s="10" t="n"/>
      <c r="F40" s="10" t="n"/>
      <c r="G40" s="11">
        <f>IF(A40="","",IF(MONTH(A40)&lt;=3,"Q1",IF(MONTH(A40)&lt;=6,"Q2",IF(MONTH(A40)&lt;=9,"Q3","Q4"))))</f>
        <v/>
      </c>
      <c r="H40" s="9" t="n"/>
      <c r="I40" s="9" t="n"/>
    </row>
    <row r="41" ht="18" customHeight="1">
      <c r="A41" s="4" t="n"/>
      <c r="B41" s="5" t="n"/>
      <c r="C41" s="5" t="n"/>
      <c r="D41" s="5" t="n"/>
      <c r="E41" s="6" t="n"/>
      <c r="F41" s="6" t="n"/>
      <c r="G41" s="7">
        <f>IF(A41="","",IF(MONTH(A41)&lt;=3,"Q1",IF(MONTH(A41)&lt;=6,"Q2",IF(MONTH(A41)&lt;=9,"Q3","Q4"))))</f>
        <v/>
      </c>
      <c r="H41" s="5" t="n"/>
      <c r="I41" s="5" t="n"/>
    </row>
    <row r="42" ht="18" customHeight="1">
      <c r="A42" s="8" t="n"/>
      <c r="B42" s="9" t="n"/>
      <c r="C42" s="9" t="n"/>
      <c r="D42" s="9" t="n"/>
      <c r="E42" s="10" t="n"/>
      <c r="F42" s="10" t="n"/>
      <c r="G42" s="11">
        <f>IF(A42="","",IF(MONTH(A42)&lt;=3,"Q1",IF(MONTH(A42)&lt;=6,"Q2",IF(MONTH(A42)&lt;=9,"Q3","Q4"))))</f>
        <v/>
      </c>
      <c r="H42" s="9" t="n"/>
      <c r="I42" s="9" t="n"/>
    </row>
    <row r="43" ht="18" customHeight="1">
      <c r="A43" s="4" t="n"/>
      <c r="B43" s="5" t="n"/>
      <c r="C43" s="5" t="n"/>
      <c r="D43" s="5" t="n"/>
      <c r="E43" s="6" t="n"/>
      <c r="F43" s="6" t="n"/>
      <c r="G43" s="7">
        <f>IF(A43="","",IF(MONTH(A43)&lt;=3,"Q1",IF(MONTH(A43)&lt;=6,"Q2",IF(MONTH(A43)&lt;=9,"Q3","Q4"))))</f>
        <v/>
      </c>
      <c r="H43" s="5" t="n"/>
      <c r="I43" s="5" t="n"/>
    </row>
    <row r="44" ht="18" customHeight="1">
      <c r="A44" s="8" t="n"/>
      <c r="B44" s="9" t="n"/>
      <c r="C44" s="9" t="n"/>
      <c r="D44" s="9" t="n"/>
      <c r="E44" s="10" t="n"/>
      <c r="F44" s="10" t="n"/>
      <c r="G44" s="11">
        <f>IF(A44="","",IF(MONTH(A44)&lt;=3,"Q1",IF(MONTH(A44)&lt;=6,"Q2",IF(MONTH(A44)&lt;=9,"Q3","Q4"))))</f>
        <v/>
      </c>
      <c r="H44" s="9" t="n"/>
      <c r="I44" s="9" t="n"/>
    </row>
    <row r="45" ht="18" customHeight="1">
      <c r="A45" s="4" t="n"/>
      <c r="B45" s="5" t="n"/>
      <c r="C45" s="5" t="n"/>
      <c r="D45" s="5" t="n"/>
      <c r="E45" s="6" t="n"/>
      <c r="F45" s="6" t="n"/>
      <c r="G45" s="7">
        <f>IF(A45="","",IF(MONTH(A45)&lt;=3,"Q1",IF(MONTH(A45)&lt;=6,"Q2",IF(MONTH(A45)&lt;=9,"Q3","Q4"))))</f>
        <v/>
      </c>
      <c r="H45" s="5" t="n"/>
      <c r="I45" s="5" t="n"/>
    </row>
    <row r="46" ht="18" customHeight="1">
      <c r="A46" s="8" t="n"/>
      <c r="B46" s="9" t="n"/>
      <c r="C46" s="9" t="n"/>
      <c r="D46" s="9" t="n"/>
      <c r="E46" s="10" t="n"/>
      <c r="F46" s="10" t="n"/>
      <c r="G46" s="11">
        <f>IF(A46="","",IF(MONTH(A46)&lt;=3,"Q1",IF(MONTH(A46)&lt;=6,"Q2",IF(MONTH(A46)&lt;=9,"Q3","Q4"))))</f>
        <v/>
      </c>
      <c r="H46" s="9" t="n"/>
      <c r="I46" s="9" t="n"/>
    </row>
    <row r="47" ht="18" customHeight="1">
      <c r="A47" s="4" t="n"/>
      <c r="B47" s="5" t="n"/>
      <c r="C47" s="5" t="n"/>
      <c r="D47" s="5" t="n"/>
      <c r="E47" s="6" t="n"/>
      <c r="F47" s="6" t="n"/>
      <c r="G47" s="7">
        <f>IF(A47="","",IF(MONTH(A47)&lt;=3,"Q1",IF(MONTH(A47)&lt;=6,"Q2",IF(MONTH(A47)&lt;=9,"Q3","Q4"))))</f>
        <v/>
      </c>
      <c r="H47" s="5" t="n"/>
      <c r="I47" s="5" t="n"/>
    </row>
    <row r="48" ht="18" customHeight="1">
      <c r="A48" s="8" t="n"/>
      <c r="B48" s="9" t="n"/>
      <c r="C48" s="9" t="n"/>
      <c r="D48" s="9" t="n"/>
      <c r="E48" s="10" t="n"/>
      <c r="F48" s="10" t="n"/>
      <c r="G48" s="11">
        <f>IF(A48="","",IF(MONTH(A48)&lt;=3,"Q1",IF(MONTH(A48)&lt;=6,"Q2",IF(MONTH(A48)&lt;=9,"Q3","Q4"))))</f>
        <v/>
      </c>
      <c r="H48" s="9" t="n"/>
      <c r="I48" s="9" t="n"/>
    </row>
    <row r="49" ht="18" customHeight="1">
      <c r="A49" s="4" t="n"/>
      <c r="B49" s="5" t="n"/>
      <c r="C49" s="5" t="n"/>
      <c r="D49" s="5" t="n"/>
      <c r="E49" s="6" t="n"/>
      <c r="F49" s="6" t="n"/>
      <c r="G49" s="7">
        <f>IF(A49="","",IF(MONTH(A49)&lt;=3,"Q1",IF(MONTH(A49)&lt;=6,"Q2",IF(MONTH(A49)&lt;=9,"Q3","Q4"))))</f>
        <v/>
      </c>
      <c r="H49" s="5" t="n"/>
      <c r="I49" s="5" t="n"/>
    </row>
    <row r="50" ht="18" customHeight="1">
      <c r="A50" s="8" t="n"/>
      <c r="B50" s="9" t="n"/>
      <c r="C50" s="9" t="n"/>
      <c r="D50" s="9" t="n"/>
      <c r="E50" s="10" t="n"/>
      <c r="F50" s="10" t="n"/>
      <c r="G50" s="11">
        <f>IF(A50="","",IF(MONTH(A50)&lt;=3,"Q1",IF(MONTH(A50)&lt;=6,"Q2",IF(MONTH(A50)&lt;=9,"Q3","Q4"))))</f>
        <v/>
      </c>
      <c r="H50" s="9" t="n"/>
      <c r="I50" s="9" t="n"/>
    </row>
    <row r="51" ht="18" customHeight="1">
      <c r="A51" s="4" t="n"/>
      <c r="B51" s="5" t="n"/>
      <c r="C51" s="5" t="n"/>
      <c r="D51" s="5" t="n"/>
      <c r="E51" s="6" t="n"/>
      <c r="F51" s="6" t="n"/>
      <c r="G51" s="7">
        <f>IF(A51="","",IF(MONTH(A51)&lt;=3,"Q1",IF(MONTH(A51)&lt;=6,"Q2",IF(MONTH(A51)&lt;=9,"Q3","Q4"))))</f>
        <v/>
      </c>
      <c r="H51" s="5" t="n"/>
      <c r="I51" s="5" t="n"/>
    </row>
    <row r="52" ht="18" customHeight="1">
      <c r="A52" s="8" t="n"/>
      <c r="B52" s="9" t="n"/>
      <c r="C52" s="9" t="n"/>
      <c r="D52" s="9" t="n"/>
      <c r="E52" s="10" t="n"/>
      <c r="F52" s="10" t="n"/>
      <c r="G52" s="11">
        <f>IF(A52="","",IF(MONTH(A52)&lt;=3,"Q1",IF(MONTH(A52)&lt;=6,"Q2",IF(MONTH(A52)&lt;=9,"Q3","Q4"))))</f>
        <v/>
      </c>
      <c r="H52" s="9" t="n"/>
      <c r="I52" s="9" t="n"/>
    </row>
    <row r="53" ht="18" customHeight="1">
      <c r="A53" s="4" t="n"/>
      <c r="B53" s="5" t="n"/>
      <c r="C53" s="5" t="n"/>
      <c r="D53" s="5" t="n"/>
      <c r="E53" s="6" t="n"/>
      <c r="F53" s="6" t="n"/>
      <c r="G53" s="7">
        <f>IF(A53="","",IF(MONTH(A53)&lt;=3,"Q1",IF(MONTH(A53)&lt;=6,"Q2",IF(MONTH(A53)&lt;=9,"Q3","Q4"))))</f>
        <v/>
      </c>
      <c r="H53" s="5" t="n"/>
      <c r="I53" s="5" t="n"/>
    </row>
    <row r="54" ht="18" customHeight="1">
      <c r="A54" s="8" t="n"/>
      <c r="B54" s="9" t="n"/>
      <c r="C54" s="9" t="n"/>
      <c r="D54" s="9" t="n"/>
      <c r="E54" s="10" t="n"/>
      <c r="F54" s="10" t="n"/>
      <c r="G54" s="11">
        <f>IF(A54="","",IF(MONTH(A54)&lt;=3,"Q1",IF(MONTH(A54)&lt;=6,"Q2",IF(MONTH(A54)&lt;=9,"Q3","Q4"))))</f>
        <v/>
      </c>
      <c r="H54" s="9" t="n"/>
      <c r="I54" s="9" t="n"/>
    </row>
    <row r="55" ht="18" customHeight="1">
      <c r="A55" s="4" t="n"/>
      <c r="B55" s="5" t="n"/>
      <c r="C55" s="5" t="n"/>
      <c r="D55" s="5" t="n"/>
      <c r="E55" s="6" t="n"/>
      <c r="F55" s="6" t="n"/>
      <c r="G55" s="7">
        <f>IF(A55="","",IF(MONTH(A55)&lt;=3,"Q1",IF(MONTH(A55)&lt;=6,"Q2",IF(MONTH(A55)&lt;=9,"Q3","Q4"))))</f>
        <v/>
      </c>
      <c r="H55" s="5" t="n"/>
      <c r="I55" s="5" t="n"/>
    </row>
    <row r="56" ht="18" customHeight="1">
      <c r="A56" s="8" t="n"/>
      <c r="B56" s="9" t="n"/>
      <c r="C56" s="9" t="n"/>
      <c r="D56" s="9" t="n"/>
      <c r="E56" s="10" t="n"/>
      <c r="F56" s="10" t="n"/>
      <c r="G56" s="11">
        <f>IF(A56="","",IF(MONTH(A56)&lt;=3,"Q1",IF(MONTH(A56)&lt;=6,"Q2",IF(MONTH(A56)&lt;=9,"Q3","Q4"))))</f>
        <v/>
      </c>
      <c r="H56" s="9" t="n"/>
      <c r="I56" s="9" t="n"/>
    </row>
    <row r="57" ht="18" customHeight="1">
      <c r="A57" s="4" t="n"/>
      <c r="B57" s="5" t="n"/>
      <c r="C57" s="5" t="n"/>
      <c r="D57" s="5" t="n"/>
      <c r="E57" s="6" t="n"/>
      <c r="F57" s="6" t="n"/>
      <c r="G57" s="7">
        <f>IF(A57="","",IF(MONTH(A57)&lt;=3,"Q1",IF(MONTH(A57)&lt;=6,"Q2",IF(MONTH(A57)&lt;=9,"Q3","Q4"))))</f>
        <v/>
      </c>
      <c r="H57" s="5" t="n"/>
      <c r="I57" s="5" t="n"/>
    </row>
    <row r="58" ht="18" customHeight="1">
      <c r="A58" s="8" t="n"/>
      <c r="B58" s="9" t="n"/>
      <c r="C58" s="9" t="n"/>
      <c r="D58" s="9" t="n"/>
      <c r="E58" s="10" t="n"/>
      <c r="F58" s="10" t="n"/>
      <c r="G58" s="11">
        <f>IF(A58="","",IF(MONTH(A58)&lt;=3,"Q1",IF(MONTH(A58)&lt;=6,"Q2",IF(MONTH(A58)&lt;=9,"Q3","Q4"))))</f>
        <v/>
      </c>
      <c r="H58" s="9" t="n"/>
      <c r="I58" s="9" t="n"/>
    </row>
    <row r="59" ht="18" customHeight="1">
      <c r="A59" s="4" t="n"/>
      <c r="B59" s="5" t="n"/>
      <c r="C59" s="5" t="n"/>
      <c r="D59" s="5" t="n"/>
      <c r="E59" s="6" t="n"/>
      <c r="F59" s="6" t="n"/>
      <c r="G59" s="7">
        <f>IF(A59="","",IF(MONTH(A59)&lt;=3,"Q1",IF(MONTH(A59)&lt;=6,"Q2",IF(MONTH(A59)&lt;=9,"Q3","Q4"))))</f>
        <v/>
      </c>
      <c r="H59" s="5" t="n"/>
      <c r="I59" s="5" t="n"/>
    </row>
    <row r="60" ht="18" customHeight="1">
      <c r="A60" s="8" t="n"/>
      <c r="B60" s="9" t="n"/>
      <c r="C60" s="9" t="n"/>
      <c r="D60" s="9" t="n"/>
      <c r="E60" s="10" t="n"/>
      <c r="F60" s="10" t="n"/>
      <c r="G60" s="11">
        <f>IF(A60="","",IF(MONTH(A60)&lt;=3,"Q1",IF(MONTH(A60)&lt;=6,"Q2",IF(MONTH(A60)&lt;=9,"Q3","Q4"))))</f>
        <v/>
      </c>
      <c r="H60" s="9" t="n"/>
      <c r="I60" s="9" t="n"/>
    </row>
    <row r="61" ht="18" customHeight="1">
      <c r="A61" s="4" t="n"/>
      <c r="B61" s="5" t="n"/>
      <c r="C61" s="5" t="n"/>
      <c r="D61" s="5" t="n"/>
      <c r="E61" s="6" t="n"/>
      <c r="F61" s="6" t="n"/>
      <c r="G61" s="7">
        <f>IF(A61="","",IF(MONTH(A61)&lt;=3,"Q1",IF(MONTH(A61)&lt;=6,"Q2",IF(MONTH(A61)&lt;=9,"Q3","Q4"))))</f>
        <v/>
      </c>
      <c r="H61" s="5" t="n"/>
      <c r="I61" s="5" t="n"/>
    </row>
    <row r="62" ht="18" customHeight="1">
      <c r="A62" s="8" t="n"/>
      <c r="B62" s="9" t="n"/>
      <c r="C62" s="9" t="n"/>
      <c r="D62" s="9" t="n"/>
      <c r="E62" s="10" t="n"/>
      <c r="F62" s="10" t="n"/>
      <c r="G62" s="11">
        <f>IF(A62="","",IF(MONTH(A62)&lt;=3,"Q1",IF(MONTH(A62)&lt;=6,"Q2",IF(MONTH(A62)&lt;=9,"Q3","Q4"))))</f>
        <v/>
      </c>
      <c r="H62" s="9" t="n"/>
      <c r="I62" s="9" t="n"/>
    </row>
    <row r="63" ht="18" customHeight="1">
      <c r="A63" s="4" t="n"/>
      <c r="B63" s="5" t="n"/>
      <c r="C63" s="5" t="n"/>
      <c r="D63" s="5" t="n"/>
      <c r="E63" s="6" t="n"/>
      <c r="F63" s="6" t="n"/>
      <c r="G63" s="7">
        <f>IF(A63="","",IF(MONTH(A63)&lt;=3,"Q1",IF(MONTH(A63)&lt;=6,"Q2",IF(MONTH(A63)&lt;=9,"Q3","Q4"))))</f>
        <v/>
      </c>
      <c r="H63" s="5" t="n"/>
      <c r="I63" s="5" t="n"/>
    </row>
    <row r="64" ht="18" customHeight="1">
      <c r="A64" s="8" t="n"/>
      <c r="B64" s="9" t="n"/>
      <c r="C64" s="9" t="n"/>
      <c r="D64" s="9" t="n"/>
      <c r="E64" s="10" t="n"/>
      <c r="F64" s="10" t="n"/>
      <c r="G64" s="11">
        <f>IF(A64="","",IF(MONTH(A64)&lt;=3,"Q1",IF(MONTH(A64)&lt;=6,"Q2",IF(MONTH(A64)&lt;=9,"Q3","Q4"))))</f>
        <v/>
      </c>
      <c r="H64" s="9" t="n"/>
      <c r="I64" s="9" t="n"/>
    </row>
    <row r="65" ht="22" customHeight="1">
      <c r="A65" s="12" t="inlineStr">
        <is>
          <t>TOTALS</t>
        </is>
      </c>
      <c r="E65" s="13">
        <f>SUM(E5:E64)</f>
        <v/>
      </c>
      <c r="F65" s="14">
        <f>SUM(F5:F64)</f>
        <v/>
      </c>
      <c r="G65" s="15" t="inlineStr">
        <is>
          <t>Net Profit:</t>
        </is>
      </c>
      <c r="H65" s="13">
        <f>E65-F65</f>
        <v/>
      </c>
    </row>
    <row r="67" ht="22" customHeight="1">
      <c r="A67" s="16" t="inlineStr">
        <is>
          <t>QUARTERLY SUMMARY</t>
        </is>
      </c>
    </row>
    <row r="68">
      <c r="A68" s="17" t="inlineStr">
        <is>
          <t>Quarter</t>
        </is>
      </c>
      <c r="B68" s="17" t="inlineStr">
        <is>
          <t>Income</t>
        </is>
      </c>
      <c r="C68" s="17" t="inlineStr">
        <is>
          <t>Expenses</t>
        </is>
      </c>
      <c r="D68" s="17" t="inlineStr">
        <is>
          <t>Net Profit</t>
        </is>
      </c>
      <c r="E68" s="17" t="inlineStr">
        <is>
          <t>20% IRPF Due</t>
        </is>
      </c>
    </row>
    <row r="69">
      <c r="A69" s="18" t="inlineStr">
        <is>
          <t>Q1</t>
        </is>
      </c>
      <c r="B69" s="19">
        <f>SUMPRODUCT((G5:G64="Q1")*(E5:E64))</f>
        <v/>
      </c>
      <c r="C69" s="19">
        <f>SUMPRODUCT((G5:G64="Q1")*(F5:F64))</f>
        <v/>
      </c>
      <c r="D69" s="19">
        <f>B69-C69</f>
        <v/>
      </c>
      <c r="E69" s="19">
        <f>MAX(D69*0.2,0)</f>
        <v/>
      </c>
    </row>
    <row r="70">
      <c r="A70" s="18" t="inlineStr">
        <is>
          <t>Q2</t>
        </is>
      </c>
      <c r="B70" s="19">
        <f>SUMPRODUCT((G5:G64="Q2")*(E5:E64))</f>
        <v/>
      </c>
      <c r="C70" s="19">
        <f>SUMPRODUCT((G5:G64="Q2")*(F5:F64))</f>
        <v/>
      </c>
      <c r="D70" s="19">
        <f>B70-C70</f>
        <v/>
      </c>
      <c r="E70" s="19">
        <f>MAX(D70*0.2,0)</f>
        <v/>
      </c>
    </row>
    <row r="71">
      <c r="A71" s="18" t="inlineStr">
        <is>
          <t>Q3</t>
        </is>
      </c>
      <c r="B71" s="19">
        <f>SUMPRODUCT((G5:G64="Q3")*(E5:E64))</f>
        <v/>
      </c>
      <c r="C71" s="19">
        <f>SUMPRODUCT((G5:G64="Q3")*(F5:F64))</f>
        <v/>
      </c>
      <c r="D71" s="19">
        <f>B71-C71</f>
        <v/>
      </c>
      <c r="E71" s="19">
        <f>MAX(D71*0.2,0)</f>
        <v/>
      </c>
    </row>
    <row r="72">
      <c r="A72" s="18" t="inlineStr">
        <is>
          <t>Q4</t>
        </is>
      </c>
      <c r="B72" s="19">
        <f>SUMPRODUCT((G5:G64="Q4")*(E5:E64))</f>
        <v/>
      </c>
      <c r="C72" s="19">
        <f>SUMPRODUCT((G5:G64="Q4")*(F5:F64))</f>
        <v/>
      </c>
      <c r="D72" s="19">
        <f>B72-C72</f>
        <v/>
      </c>
      <c r="E72" s="19">
        <f>MAX(D72*0.2,0)</f>
        <v/>
      </c>
    </row>
    <row r="74" ht="18" customHeight="1">
      <c r="A74" s="16" t="inlineStr">
        <is>
          <t>KEY REMINDERS</t>
        </is>
      </c>
    </row>
    <row r="75">
      <c r="A75" s="20" t="inlineStr">
        <is>
          <t>• Issue a numbered invoice (factura) for EVERY service — even to private individuals.</t>
        </is>
      </c>
    </row>
    <row r="76">
      <c r="A76" s="20" t="inlineStr">
        <is>
          <t>• Keep ALL receipts. Expenses must be invoiced to your name (Andrew Griffiths, NIE Z1985059A).</t>
        </is>
      </c>
    </row>
    <row r="77">
      <c r="A77" s="20" t="inlineStr">
        <is>
          <t>• Quarterly deadlines: Q1→1-20 Apr | Q2→1-20 Jul | Q3→1-20 Oct | Q4→1-20 Jan. File Modelo 130.</t>
        </is>
      </c>
    </row>
    <row r="78">
      <c r="A78" s="20" t="inlineStr">
        <is>
          <t>• IVA (Modelo 303): Confirm with gestor if CNAE 8551 is IVA-exempt. May not need to charge 21%.</t>
        </is>
      </c>
    </row>
    <row r="79">
      <c r="A79" s="20" t="inlineStr">
        <is>
          <t>• Tarifa plana: ~€80/month for first 12 months. After that, based on declared income.</t>
        </is>
      </c>
    </row>
  </sheetData>
  <mergeCells count="11">
    <mergeCell ref="G65"/>
    <mergeCell ref="A2:I2"/>
    <mergeCell ref="A75:I75"/>
    <mergeCell ref="A76:I76"/>
    <mergeCell ref="A77:I77"/>
    <mergeCell ref="A1:I1"/>
    <mergeCell ref="A65:D65"/>
    <mergeCell ref="A79:I79"/>
    <mergeCell ref="A74:I74"/>
    <mergeCell ref="A78:I78"/>
    <mergeCell ref="A67:E6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0" customWidth="1" min="4" max="4"/>
    <col width="14" customWidth="1" min="5" max="5"/>
    <col width="10" customWidth="1" min="6" max="6"/>
    <col width="14" customWidth="1" min="7" max="7"/>
    <col width="12" customWidth="1" min="8" max="8"/>
    <col width="14" customWidth="1" min="9" max="9"/>
    <col width="20" customWidth="1" min="10" max="10"/>
  </cols>
  <sheetData>
    <row r="1">
      <c r="A1" s="1" t="inlineStr">
        <is>
          <t>MR MALLORCA GOLF — INVOICE LOG 2026</t>
        </is>
      </c>
    </row>
    <row r="2">
      <c r="A2" s="2" t="inlineStr">
        <is>
          <t>Issue a factura for every service. Numbering: MMG-2026-001, MMG-2026-002 ...</t>
        </is>
      </c>
    </row>
    <row r="4" ht="28" customHeight="1">
      <c r="A4" s="3" t="inlineStr">
        <is>
          <t>Invoice #</t>
        </is>
      </c>
      <c r="B4" s="3" t="inlineStr">
        <is>
          <t>Date Issued</t>
        </is>
      </c>
      <c r="C4" s="3" t="inlineStr">
        <is>
          <t>Client Name</t>
        </is>
      </c>
      <c r="D4" s="3" t="inlineStr">
        <is>
          <t>Service Description</t>
        </is>
      </c>
      <c r="E4" s="3" t="inlineStr">
        <is>
          <t>Amount (€)</t>
        </is>
      </c>
      <c r="F4" s="3" t="inlineStr">
        <is>
          <t>IVA %</t>
        </is>
      </c>
      <c r="G4" s="3" t="inlineStr">
        <is>
          <t>IVA Amount</t>
        </is>
      </c>
      <c r="H4" s="3" t="inlineStr">
        <is>
          <t>Total (€)</t>
        </is>
      </c>
      <c r="I4" s="3" t="inlineStr">
        <is>
          <t>Paid?</t>
        </is>
      </c>
      <c r="J4" s="3" t="inlineStr">
        <is>
          <t>Payment Method</t>
        </is>
      </c>
    </row>
    <row r="5">
      <c r="A5" s="5" t="n"/>
      <c r="B5" s="5" t="n"/>
      <c r="C5" s="5" t="n"/>
      <c r="D5" s="5" t="n"/>
      <c r="E5" s="6" t="n"/>
      <c r="F5" s="21" t="n"/>
      <c r="G5" s="22">
        <f>IF(E5="","",E5*F5)</f>
        <v/>
      </c>
      <c r="H5" s="23">
        <f>IF(E5="","",E5+G5)</f>
        <v/>
      </c>
      <c r="I5" s="5" t="n"/>
      <c r="J5" s="5" t="n"/>
    </row>
    <row r="6">
      <c r="A6" s="9" t="n"/>
      <c r="B6" s="9" t="n"/>
      <c r="C6" s="9" t="n"/>
      <c r="D6" s="9" t="n"/>
      <c r="E6" s="10" t="n"/>
      <c r="F6" s="24" t="n"/>
      <c r="G6" s="25">
        <f>IF(E6="","",E6*F6)</f>
        <v/>
      </c>
      <c r="H6" s="26">
        <f>IF(E6="","",E6+G6)</f>
        <v/>
      </c>
      <c r="I6" s="9" t="n"/>
      <c r="J6" s="9" t="n"/>
    </row>
    <row r="7">
      <c r="A7" s="5" t="n"/>
      <c r="B7" s="5" t="n"/>
      <c r="C7" s="5" t="n"/>
      <c r="D7" s="5" t="n"/>
      <c r="E7" s="6" t="n"/>
      <c r="F7" s="21" t="n"/>
      <c r="G7" s="22">
        <f>IF(E7="","",E7*F7)</f>
        <v/>
      </c>
      <c r="H7" s="23">
        <f>IF(E7="","",E7+G7)</f>
        <v/>
      </c>
      <c r="I7" s="5" t="n"/>
      <c r="J7" s="5" t="n"/>
    </row>
    <row r="8">
      <c r="A8" s="9" t="n"/>
      <c r="B8" s="9" t="n"/>
      <c r="C8" s="9" t="n"/>
      <c r="D8" s="9" t="n"/>
      <c r="E8" s="10" t="n"/>
      <c r="F8" s="24" t="n"/>
      <c r="G8" s="25">
        <f>IF(E8="","",E8*F8)</f>
        <v/>
      </c>
      <c r="H8" s="26">
        <f>IF(E8="","",E8+G8)</f>
        <v/>
      </c>
      <c r="I8" s="9" t="n"/>
      <c r="J8" s="9" t="n"/>
    </row>
    <row r="9">
      <c r="A9" s="5" t="n"/>
      <c r="B9" s="5" t="n"/>
      <c r="C9" s="5" t="n"/>
      <c r="D9" s="5" t="n"/>
      <c r="E9" s="6" t="n"/>
      <c r="F9" s="21" t="n"/>
      <c r="G9" s="22">
        <f>IF(E9="","",E9*F9)</f>
        <v/>
      </c>
      <c r="H9" s="23">
        <f>IF(E9="","",E9+G9)</f>
        <v/>
      </c>
      <c r="I9" s="5" t="n"/>
      <c r="J9" s="5" t="n"/>
    </row>
    <row r="10">
      <c r="A10" s="9" t="n"/>
      <c r="B10" s="9" t="n"/>
      <c r="C10" s="9" t="n"/>
      <c r="D10" s="9" t="n"/>
      <c r="E10" s="10" t="n"/>
      <c r="F10" s="24" t="n"/>
      <c r="G10" s="25">
        <f>IF(E10="","",E10*F10)</f>
        <v/>
      </c>
      <c r="H10" s="26">
        <f>IF(E10="","",E10+G10)</f>
        <v/>
      </c>
      <c r="I10" s="9" t="n"/>
      <c r="J10" s="9" t="n"/>
    </row>
    <row r="11">
      <c r="A11" s="5" t="n"/>
      <c r="B11" s="5" t="n"/>
      <c r="C11" s="5" t="n"/>
      <c r="D11" s="5" t="n"/>
      <c r="E11" s="6" t="n"/>
      <c r="F11" s="21" t="n"/>
      <c r="G11" s="22">
        <f>IF(E11="","",E11*F11)</f>
        <v/>
      </c>
      <c r="H11" s="23">
        <f>IF(E11="","",E11+G11)</f>
        <v/>
      </c>
      <c r="I11" s="5" t="n"/>
      <c r="J11" s="5" t="n"/>
    </row>
    <row r="12">
      <c r="A12" s="9" t="n"/>
      <c r="B12" s="9" t="n"/>
      <c r="C12" s="9" t="n"/>
      <c r="D12" s="9" t="n"/>
      <c r="E12" s="10" t="n"/>
      <c r="F12" s="24" t="n"/>
      <c r="G12" s="25">
        <f>IF(E12="","",E12*F12)</f>
        <v/>
      </c>
      <c r="H12" s="26">
        <f>IF(E12="","",E12+G12)</f>
        <v/>
      </c>
      <c r="I12" s="9" t="n"/>
      <c r="J12" s="9" t="n"/>
    </row>
    <row r="13">
      <c r="A13" s="5" t="n"/>
      <c r="B13" s="5" t="n"/>
      <c r="C13" s="5" t="n"/>
      <c r="D13" s="5" t="n"/>
      <c r="E13" s="6" t="n"/>
      <c r="F13" s="21" t="n"/>
      <c r="G13" s="22">
        <f>IF(E13="","",E13*F13)</f>
        <v/>
      </c>
      <c r="H13" s="23">
        <f>IF(E13="","",E13+G13)</f>
        <v/>
      </c>
      <c r="I13" s="5" t="n"/>
      <c r="J13" s="5" t="n"/>
    </row>
    <row r="14">
      <c r="A14" s="9" t="n"/>
      <c r="B14" s="9" t="n"/>
      <c r="C14" s="9" t="n"/>
      <c r="D14" s="9" t="n"/>
      <c r="E14" s="10" t="n"/>
      <c r="F14" s="24" t="n"/>
      <c r="G14" s="25">
        <f>IF(E14="","",E14*F14)</f>
        <v/>
      </c>
      <c r="H14" s="26">
        <f>IF(E14="","",E14+G14)</f>
        <v/>
      </c>
      <c r="I14" s="9" t="n"/>
      <c r="J14" s="9" t="n"/>
    </row>
    <row r="15">
      <c r="A15" s="5" t="n"/>
      <c r="B15" s="5" t="n"/>
      <c r="C15" s="5" t="n"/>
      <c r="D15" s="5" t="n"/>
      <c r="E15" s="6" t="n"/>
      <c r="F15" s="21" t="n"/>
      <c r="G15" s="22">
        <f>IF(E15="","",E15*F15)</f>
        <v/>
      </c>
      <c r="H15" s="23">
        <f>IF(E15="","",E15+G15)</f>
        <v/>
      </c>
      <c r="I15" s="5" t="n"/>
      <c r="J15" s="5" t="n"/>
    </row>
    <row r="16">
      <c r="A16" s="9" t="n"/>
      <c r="B16" s="9" t="n"/>
      <c r="C16" s="9" t="n"/>
      <c r="D16" s="9" t="n"/>
      <c r="E16" s="10" t="n"/>
      <c r="F16" s="24" t="n"/>
      <c r="G16" s="25">
        <f>IF(E16="","",E16*F16)</f>
        <v/>
      </c>
      <c r="H16" s="26">
        <f>IF(E16="","",E16+G16)</f>
        <v/>
      </c>
      <c r="I16" s="9" t="n"/>
      <c r="J16" s="9" t="n"/>
    </row>
    <row r="17">
      <c r="A17" s="5" t="n"/>
      <c r="B17" s="5" t="n"/>
      <c r="C17" s="5" t="n"/>
      <c r="D17" s="5" t="n"/>
      <c r="E17" s="6" t="n"/>
      <c r="F17" s="21" t="n"/>
      <c r="G17" s="22">
        <f>IF(E17="","",E17*F17)</f>
        <v/>
      </c>
      <c r="H17" s="23">
        <f>IF(E17="","",E17+G17)</f>
        <v/>
      </c>
      <c r="I17" s="5" t="n"/>
      <c r="J17" s="5" t="n"/>
    </row>
    <row r="18">
      <c r="A18" s="9" t="n"/>
      <c r="B18" s="9" t="n"/>
      <c r="C18" s="9" t="n"/>
      <c r="D18" s="9" t="n"/>
      <c r="E18" s="10" t="n"/>
      <c r="F18" s="24" t="n"/>
      <c r="G18" s="25">
        <f>IF(E18="","",E18*F18)</f>
        <v/>
      </c>
      <c r="H18" s="26">
        <f>IF(E18="","",E18+G18)</f>
        <v/>
      </c>
      <c r="I18" s="9" t="n"/>
      <c r="J18" s="9" t="n"/>
    </row>
    <row r="19">
      <c r="A19" s="5" t="n"/>
      <c r="B19" s="5" t="n"/>
      <c r="C19" s="5" t="n"/>
      <c r="D19" s="5" t="n"/>
      <c r="E19" s="6" t="n"/>
      <c r="F19" s="21" t="n"/>
      <c r="G19" s="22">
        <f>IF(E19="","",E19*F19)</f>
        <v/>
      </c>
      <c r="H19" s="23">
        <f>IF(E19="","",E19+G19)</f>
        <v/>
      </c>
      <c r="I19" s="5" t="n"/>
      <c r="J19" s="5" t="n"/>
    </row>
    <row r="20">
      <c r="A20" s="9" t="n"/>
      <c r="B20" s="9" t="n"/>
      <c r="C20" s="9" t="n"/>
      <c r="D20" s="9" t="n"/>
      <c r="E20" s="10" t="n"/>
      <c r="F20" s="24" t="n"/>
      <c r="G20" s="25">
        <f>IF(E20="","",E20*F20)</f>
        <v/>
      </c>
      <c r="H20" s="26">
        <f>IF(E20="","",E20+G20)</f>
        <v/>
      </c>
      <c r="I20" s="9" t="n"/>
      <c r="J20" s="9" t="n"/>
    </row>
    <row r="21">
      <c r="A21" s="5" t="n"/>
      <c r="B21" s="5" t="n"/>
      <c r="C21" s="5" t="n"/>
      <c r="D21" s="5" t="n"/>
      <c r="E21" s="6" t="n"/>
      <c r="F21" s="21" t="n"/>
      <c r="G21" s="22">
        <f>IF(E21="","",E21*F21)</f>
        <v/>
      </c>
      <c r="H21" s="23">
        <f>IF(E21="","",E21+G21)</f>
        <v/>
      </c>
      <c r="I21" s="5" t="n"/>
      <c r="J21" s="5" t="n"/>
    </row>
    <row r="22">
      <c r="A22" s="9" t="n"/>
      <c r="B22" s="9" t="n"/>
      <c r="C22" s="9" t="n"/>
      <c r="D22" s="9" t="n"/>
      <c r="E22" s="10" t="n"/>
      <c r="F22" s="24" t="n"/>
      <c r="G22" s="25">
        <f>IF(E22="","",E22*F22)</f>
        <v/>
      </c>
      <c r="H22" s="26">
        <f>IF(E22="","",E22+G22)</f>
        <v/>
      </c>
      <c r="I22" s="9" t="n"/>
      <c r="J22" s="9" t="n"/>
    </row>
    <row r="23">
      <c r="A23" s="5" t="n"/>
      <c r="B23" s="5" t="n"/>
      <c r="C23" s="5" t="n"/>
      <c r="D23" s="5" t="n"/>
      <c r="E23" s="6" t="n"/>
      <c r="F23" s="21" t="n"/>
      <c r="G23" s="22">
        <f>IF(E23="","",E23*F23)</f>
        <v/>
      </c>
      <c r="H23" s="23">
        <f>IF(E23="","",E23+G23)</f>
        <v/>
      </c>
      <c r="I23" s="5" t="n"/>
      <c r="J23" s="5" t="n"/>
    </row>
    <row r="24">
      <c r="A24" s="9" t="n"/>
      <c r="B24" s="9" t="n"/>
      <c r="C24" s="9" t="n"/>
      <c r="D24" s="9" t="n"/>
      <c r="E24" s="10" t="n"/>
      <c r="F24" s="24" t="n"/>
      <c r="G24" s="25">
        <f>IF(E24="","",E24*F24)</f>
        <v/>
      </c>
      <c r="H24" s="26">
        <f>IF(E24="","",E24+G24)</f>
        <v/>
      </c>
      <c r="I24" s="9" t="n"/>
      <c r="J24" s="9" t="n"/>
    </row>
    <row r="25">
      <c r="A25" s="5" t="n"/>
      <c r="B25" s="5" t="n"/>
      <c r="C25" s="5" t="n"/>
      <c r="D25" s="5" t="n"/>
      <c r="E25" s="6" t="n"/>
      <c r="F25" s="21" t="n"/>
      <c r="G25" s="22">
        <f>IF(E25="","",E25*F25)</f>
        <v/>
      </c>
      <c r="H25" s="23">
        <f>IF(E25="","",E25+G25)</f>
        <v/>
      </c>
      <c r="I25" s="5" t="n"/>
      <c r="J25" s="5" t="n"/>
    </row>
    <row r="26">
      <c r="A26" s="9" t="n"/>
      <c r="B26" s="9" t="n"/>
      <c r="C26" s="9" t="n"/>
      <c r="D26" s="9" t="n"/>
      <c r="E26" s="10" t="n"/>
      <c r="F26" s="24" t="n"/>
      <c r="G26" s="25">
        <f>IF(E26="","",E26*F26)</f>
        <v/>
      </c>
      <c r="H26" s="26">
        <f>IF(E26="","",E26+G26)</f>
        <v/>
      </c>
      <c r="I26" s="9" t="n"/>
      <c r="J26" s="9" t="n"/>
    </row>
    <row r="27">
      <c r="A27" s="5" t="n"/>
      <c r="B27" s="5" t="n"/>
      <c r="C27" s="5" t="n"/>
      <c r="D27" s="5" t="n"/>
      <c r="E27" s="6" t="n"/>
      <c r="F27" s="21" t="n"/>
      <c r="G27" s="22">
        <f>IF(E27="","",E27*F27)</f>
        <v/>
      </c>
      <c r="H27" s="23">
        <f>IF(E27="","",E27+G27)</f>
        <v/>
      </c>
      <c r="I27" s="5" t="n"/>
      <c r="J27" s="5" t="n"/>
    </row>
    <row r="28">
      <c r="A28" s="9" t="n"/>
      <c r="B28" s="9" t="n"/>
      <c r="C28" s="9" t="n"/>
      <c r="D28" s="9" t="n"/>
      <c r="E28" s="10" t="n"/>
      <c r="F28" s="24" t="n"/>
      <c r="G28" s="25">
        <f>IF(E28="","",E28*F28)</f>
        <v/>
      </c>
      <c r="H28" s="26">
        <f>IF(E28="","",E28+G28)</f>
        <v/>
      </c>
      <c r="I28" s="9" t="n"/>
      <c r="J28" s="9" t="n"/>
    </row>
    <row r="29">
      <c r="A29" s="5" t="n"/>
      <c r="B29" s="5" t="n"/>
      <c r="C29" s="5" t="n"/>
      <c r="D29" s="5" t="n"/>
      <c r="E29" s="6" t="n"/>
      <c r="F29" s="21" t="n"/>
      <c r="G29" s="22">
        <f>IF(E29="","",E29*F29)</f>
        <v/>
      </c>
      <c r="H29" s="23">
        <f>IF(E29="","",E29+G29)</f>
        <v/>
      </c>
      <c r="I29" s="5" t="n"/>
      <c r="J29" s="5" t="n"/>
    </row>
    <row r="30">
      <c r="A30" s="9" t="n"/>
      <c r="B30" s="9" t="n"/>
      <c r="C30" s="9" t="n"/>
      <c r="D30" s="9" t="n"/>
      <c r="E30" s="10" t="n"/>
      <c r="F30" s="24" t="n"/>
      <c r="G30" s="25">
        <f>IF(E30="","",E30*F30)</f>
        <v/>
      </c>
      <c r="H30" s="26">
        <f>IF(E30="","",E30+G30)</f>
        <v/>
      </c>
      <c r="I30" s="9" t="n"/>
      <c r="J30" s="9" t="n"/>
    </row>
    <row r="31">
      <c r="A31" s="5" t="n"/>
      <c r="B31" s="5" t="n"/>
      <c r="C31" s="5" t="n"/>
      <c r="D31" s="5" t="n"/>
      <c r="E31" s="6" t="n"/>
      <c r="F31" s="21" t="n"/>
      <c r="G31" s="22">
        <f>IF(E31="","",E31*F31)</f>
        <v/>
      </c>
      <c r="H31" s="23">
        <f>IF(E31="","",E31+G31)</f>
        <v/>
      </c>
      <c r="I31" s="5" t="n"/>
      <c r="J31" s="5" t="n"/>
    </row>
    <row r="32">
      <c r="A32" s="9" t="n"/>
      <c r="B32" s="9" t="n"/>
      <c r="C32" s="9" t="n"/>
      <c r="D32" s="9" t="n"/>
      <c r="E32" s="10" t="n"/>
      <c r="F32" s="24" t="n"/>
      <c r="G32" s="25">
        <f>IF(E32="","",E32*F32)</f>
        <v/>
      </c>
      <c r="H32" s="26">
        <f>IF(E32="","",E32+G32)</f>
        <v/>
      </c>
      <c r="I32" s="9" t="n"/>
      <c r="J32" s="9" t="n"/>
    </row>
    <row r="33">
      <c r="A33" s="5" t="n"/>
      <c r="B33" s="5" t="n"/>
      <c r="C33" s="5" t="n"/>
      <c r="D33" s="5" t="n"/>
      <c r="E33" s="6" t="n"/>
      <c r="F33" s="21" t="n"/>
      <c r="G33" s="22">
        <f>IF(E33="","",E33*F33)</f>
        <v/>
      </c>
      <c r="H33" s="23">
        <f>IF(E33="","",E33+G33)</f>
        <v/>
      </c>
      <c r="I33" s="5" t="n"/>
      <c r="J33" s="5" t="n"/>
    </row>
    <row r="34">
      <c r="A34" s="9" t="n"/>
      <c r="B34" s="9" t="n"/>
      <c r="C34" s="9" t="n"/>
      <c r="D34" s="9" t="n"/>
      <c r="E34" s="10" t="n"/>
      <c r="F34" s="24" t="n"/>
      <c r="G34" s="25">
        <f>IF(E34="","",E34*F34)</f>
        <v/>
      </c>
      <c r="H34" s="26">
        <f>IF(E34="","",E34+G34)</f>
        <v/>
      </c>
      <c r="I34" s="9" t="n"/>
      <c r="J34" s="9" t="n"/>
    </row>
    <row r="35">
      <c r="A35" s="5" t="n"/>
      <c r="B35" s="5" t="n"/>
      <c r="C35" s="5" t="n"/>
      <c r="D35" s="5" t="n"/>
      <c r="E35" s="6" t="n"/>
      <c r="F35" s="21" t="n"/>
      <c r="G35" s="22">
        <f>IF(E35="","",E35*F35)</f>
        <v/>
      </c>
      <c r="H35" s="23">
        <f>IF(E35="","",E35+G35)</f>
        <v/>
      </c>
      <c r="I35" s="5" t="n"/>
      <c r="J35" s="5" t="n"/>
    </row>
    <row r="36">
      <c r="A36" s="9" t="n"/>
      <c r="B36" s="9" t="n"/>
      <c r="C36" s="9" t="n"/>
      <c r="D36" s="9" t="n"/>
      <c r="E36" s="10" t="n"/>
      <c r="F36" s="24" t="n"/>
      <c r="G36" s="25">
        <f>IF(E36="","",E36*F36)</f>
        <v/>
      </c>
      <c r="H36" s="26">
        <f>IF(E36="","",E36+G36)</f>
        <v/>
      </c>
      <c r="I36" s="9" t="n"/>
      <c r="J36" s="9" t="n"/>
    </row>
    <row r="37">
      <c r="A37" s="5" t="n"/>
      <c r="B37" s="5" t="n"/>
      <c r="C37" s="5" t="n"/>
      <c r="D37" s="5" t="n"/>
      <c r="E37" s="6" t="n"/>
      <c r="F37" s="21" t="n"/>
      <c r="G37" s="22">
        <f>IF(E37="","",E37*F37)</f>
        <v/>
      </c>
      <c r="H37" s="23">
        <f>IF(E37="","",E37+G37)</f>
        <v/>
      </c>
      <c r="I37" s="5" t="n"/>
      <c r="J37" s="5" t="n"/>
    </row>
    <row r="38">
      <c r="A38" s="9" t="n"/>
      <c r="B38" s="9" t="n"/>
      <c r="C38" s="9" t="n"/>
      <c r="D38" s="9" t="n"/>
      <c r="E38" s="10" t="n"/>
      <c r="F38" s="24" t="n"/>
      <c r="G38" s="25">
        <f>IF(E38="","",E38*F38)</f>
        <v/>
      </c>
      <c r="H38" s="26">
        <f>IF(E38="","",E38+G38)</f>
        <v/>
      </c>
      <c r="I38" s="9" t="n"/>
      <c r="J38" s="9" t="n"/>
    </row>
    <row r="39">
      <c r="A39" s="5" t="n"/>
      <c r="B39" s="5" t="n"/>
      <c r="C39" s="5" t="n"/>
      <c r="D39" s="5" t="n"/>
      <c r="E39" s="6" t="n"/>
      <c r="F39" s="21" t="n"/>
      <c r="G39" s="22">
        <f>IF(E39="","",E39*F39)</f>
        <v/>
      </c>
      <c r="H39" s="23">
        <f>IF(E39="","",E39+G39)</f>
        <v/>
      </c>
      <c r="I39" s="5" t="n"/>
      <c r="J39" s="5" t="n"/>
    </row>
    <row r="40">
      <c r="A40" s="9" t="n"/>
      <c r="B40" s="9" t="n"/>
      <c r="C40" s="9" t="n"/>
      <c r="D40" s="9" t="n"/>
      <c r="E40" s="10" t="n"/>
      <c r="F40" s="24" t="n"/>
      <c r="G40" s="25">
        <f>IF(E40="","",E40*F40)</f>
        <v/>
      </c>
      <c r="H40" s="26">
        <f>IF(E40="","",E40+G40)</f>
        <v/>
      </c>
      <c r="I40" s="9" t="n"/>
      <c r="J40" s="9" t="n"/>
    </row>
    <row r="41">
      <c r="A41" s="5" t="n"/>
      <c r="B41" s="5" t="n"/>
      <c r="C41" s="5" t="n"/>
      <c r="D41" s="5" t="n"/>
      <c r="E41" s="6" t="n"/>
      <c r="F41" s="21" t="n"/>
      <c r="G41" s="22">
        <f>IF(E41="","",E41*F41)</f>
        <v/>
      </c>
      <c r="H41" s="23">
        <f>IF(E41="","",E41+G41)</f>
        <v/>
      </c>
      <c r="I41" s="5" t="n"/>
      <c r="J41" s="5" t="n"/>
    </row>
    <row r="42">
      <c r="A42" s="9" t="n"/>
      <c r="B42" s="9" t="n"/>
      <c r="C42" s="9" t="n"/>
      <c r="D42" s="9" t="n"/>
      <c r="E42" s="10" t="n"/>
      <c r="F42" s="24" t="n"/>
      <c r="G42" s="25">
        <f>IF(E42="","",E42*F42)</f>
        <v/>
      </c>
      <c r="H42" s="26">
        <f>IF(E42="","",E42+G42)</f>
        <v/>
      </c>
      <c r="I42" s="9" t="n"/>
      <c r="J42" s="9" t="n"/>
    </row>
    <row r="43">
      <c r="A43" s="5" t="n"/>
      <c r="B43" s="5" t="n"/>
      <c r="C43" s="5" t="n"/>
      <c r="D43" s="5" t="n"/>
      <c r="E43" s="6" t="n"/>
      <c r="F43" s="21" t="n"/>
      <c r="G43" s="22">
        <f>IF(E43="","",E43*F43)</f>
        <v/>
      </c>
      <c r="H43" s="23">
        <f>IF(E43="","",E43+G43)</f>
        <v/>
      </c>
      <c r="I43" s="5" t="n"/>
      <c r="J43" s="5" t="n"/>
    </row>
    <row r="44">
      <c r="A44" s="9" t="n"/>
      <c r="B44" s="9" t="n"/>
      <c r="C44" s="9" t="n"/>
      <c r="D44" s="9" t="n"/>
      <c r="E44" s="10" t="n"/>
      <c r="F44" s="24" t="n"/>
      <c r="G44" s="25">
        <f>IF(E44="","",E44*F44)</f>
        <v/>
      </c>
      <c r="H44" s="26">
        <f>IF(E44="","",E44+G44)</f>
        <v/>
      </c>
      <c r="I44" s="9" t="n"/>
      <c r="J44" s="9" t="n"/>
    </row>
    <row r="45">
      <c r="A45" s="5" t="n"/>
      <c r="B45" s="5" t="n"/>
      <c r="C45" s="5" t="n"/>
      <c r="D45" s="5" t="n"/>
      <c r="E45" s="6" t="n"/>
      <c r="F45" s="21" t="n"/>
      <c r="G45" s="22">
        <f>IF(E45="","",E45*F45)</f>
        <v/>
      </c>
      <c r="H45" s="23">
        <f>IF(E45="","",E45+G45)</f>
        <v/>
      </c>
      <c r="I45" s="5" t="n"/>
      <c r="J45" s="5" t="n"/>
    </row>
    <row r="46">
      <c r="A46" s="9" t="n"/>
      <c r="B46" s="9" t="n"/>
      <c r="C46" s="9" t="n"/>
      <c r="D46" s="9" t="n"/>
      <c r="E46" s="10" t="n"/>
      <c r="F46" s="24" t="n"/>
      <c r="G46" s="25">
        <f>IF(E46="","",E46*F46)</f>
        <v/>
      </c>
      <c r="H46" s="26">
        <f>IF(E46="","",E46+G46)</f>
        <v/>
      </c>
      <c r="I46" s="9" t="n"/>
      <c r="J46" s="9" t="n"/>
    </row>
    <row r="47">
      <c r="A47" s="5" t="n"/>
      <c r="B47" s="5" t="n"/>
      <c r="C47" s="5" t="n"/>
      <c r="D47" s="5" t="n"/>
      <c r="E47" s="6" t="n"/>
      <c r="F47" s="21" t="n"/>
      <c r="G47" s="22">
        <f>IF(E47="","",E47*F47)</f>
        <v/>
      </c>
      <c r="H47" s="23">
        <f>IF(E47="","",E47+G47)</f>
        <v/>
      </c>
      <c r="I47" s="5" t="n"/>
      <c r="J47" s="5" t="n"/>
    </row>
    <row r="48">
      <c r="A48" s="9" t="n"/>
      <c r="B48" s="9" t="n"/>
      <c r="C48" s="9" t="n"/>
      <c r="D48" s="9" t="n"/>
      <c r="E48" s="10" t="n"/>
      <c r="F48" s="24" t="n"/>
      <c r="G48" s="25">
        <f>IF(E48="","",E48*F48)</f>
        <v/>
      </c>
      <c r="H48" s="26">
        <f>IF(E48="","",E48+G48)</f>
        <v/>
      </c>
      <c r="I48" s="9" t="n"/>
      <c r="J48" s="9" t="n"/>
    </row>
    <row r="49">
      <c r="A49" s="5" t="n"/>
      <c r="B49" s="5" t="n"/>
      <c r="C49" s="5" t="n"/>
      <c r="D49" s="5" t="n"/>
      <c r="E49" s="6" t="n"/>
      <c r="F49" s="21" t="n"/>
      <c r="G49" s="22">
        <f>IF(E49="","",E49*F49)</f>
        <v/>
      </c>
      <c r="H49" s="23">
        <f>IF(E49="","",E49+G49)</f>
        <v/>
      </c>
      <c r="I49" s="5" t="n"/>
      <c r="J49" s="5" t="n"/>
    </row>
    <row r="50">
      <c r="A50" s="9" t="n"/>
      <c r="B50" s="9" t="n"/>
      <c r="C50" s="9" t="n"/>
      <c r="D50" s="9" t="n"/>
      <c r="E50" s="10" t="n"/>
      <c r="F50" s="24" t="n"/>
      <c r="G50" s="25">
        <f>IF(E50="","",E50*F50)</f>
        <v/>
      </c>
      <c r="H50" s="26">
        <f>IF(E50="","",E50+G50)</f>
        <v/>
      </c>
      <c r="I50" s="9" t="n"/>
      <c r="J50" s="9" t="n"/>
    </row>
    <row r="51">
      <c r="A51" s="5" t="n"/>
      <c r="B51" s="5" t="n"/>
      <c r="C51" s="5" t="n"/>
      <c r="D51" s="5" t="n"/>
      <c r="E51" s="6" t="n"/>
      <c r="F51" s="21" t="n"/>
      <c r="G51" s="22">
        <f>IF(E51="","",E51*F51)</f>
        <v/>
      </c>
      <c r="H51" s="23">
        <f>IF(E51="","",E51+G51)</f>
        <v/>
      </c>
      <c r="I51" s="5" t="n"/>
      <c r="J51" s="5" t="n"/>
    </row>
    <row r="52">
      <c r="A52" s="9" t="n"/>
      <c r="B52" s="9" t="n"/>
      <c r="C52" s="9" t="n"/>
      <c r="D52" s="9" t="n"/>
      <c r="E52" s="10" t="n"/>
      <c r="F52" s="24" t="n"/>
      <c r="G52" s="25">
        <f>IF(E52="","",E52*F52)</f>
        <v/>
      </c>
      <c r="H52" s="26">
        <f>IF(E52="","",E52+G52)</f>
        <v/>
      </c>
      <c r="I52" s="9" t="n"/>
      <c r="J52" s="9" t="n"/>
    </row>
    <row r="53">
      <c r="A53" s="5" t="n"/>
      <c r="B53" s="5" t="n"/>
      <c r="C53" s="5" t="n"/>
      <c r="D53" s="5" t="n"/>
      <c r="E53" s="6" t="n"/>
      <c r="F53" s="21" t="n"/>
      <c r="G53" s="22">
        <f>IF(E53="","",E53*F53)</f>
        <v/>
      </c>
      <c r="H53" s="23">
        <f>IF(E53="","",E53+G53)</f>
        <v/>
      </c>
      <c r="I53" s="5" t="n"/>
      <c r="J53" s="5" t="n"/>
    </row>
    <row r="54">
      <c r="A54" s="9" t="n"/>
      <c r="B54" s="9" t="n"/>
      <c r="C54" s="9" t="n"/>
      <c r="D54" s="9" t="n"/>
      <c r="E54" s="10" t="n"/>
      <c r="F54" s="24" t="n"/>
      <c r="G54" s="25">
        <f>IF(E54="","",E54*F54)</f>
        <v/>
      </c>
      <c r="H54" s="26">
        <f>IF(E54="","",E54+G54)</f>
        <v/>
      </c>
      <c r="I54" s="9" t="n"/>
      <c r="J54" s="9" t="n"/>
    </row>
    <row r="55">
      <c r="A55" s="12" t="inlineStr">
        <is>
          <t>TOTALS</t>
        </is>
      </c>
      <c r="E55" s="13">
        <f>SUM(E5:E54)</f>
        <v/>
      </c>
      <c r="G55" s="13">
        <f>SUM(G5:G54)</f>
        <v/>
      </c>
      <c r="H55" s="13">
        <f>SUM(H5:H54)</f>
        <v/>
      </c>
    </row>
  </sheetData>
  <mergeCells count="3">
    <mergeCell ref="A55:D55"/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QUARTERLY TAX CALCULATOR — MODELO 130 (IRPF)</t>
        </is>
      </c>
    </row>
    <row r="2">
      <c r="A2" s="2" t="inlineStr">
        <is>
          <t>Andy Griffiths · Baleares · Start date 26/05/2026 · IRPF rate 20% on net profit</t>
        </is>
      </c>
    </row>
    <row r="4">
      <c r="A4" s="12" t="inlineStr">
        <is>
          <t>Item</t>
        </is>
      </c>
      <c r="B4" s="12" t="inlineStr">
        <is>
          <t>Q1 (Jan-Mar)</t>
        </is>
      </c>
      <c r="C4" s="12" t="inlineStr">
        <is>
          <t>Q2 (Apr-Jun)</t>
        </is>
      </c>
      <c r="D4" s="12" t="inlineStr">
        <is>
          <t>Q3 (Jul-Sep)</t>
        </is>
      </c>
      <c r="E4" s="12" t="inlineStr">
        <is>
          <t>Q4 (Oct-Dec)</t>
        </is>
      </c>
    </row>
    <row r="5">
      <c r="A5" s="27" t="inlineStr">
        <is>
          <t>Total Income (from Ledger)</t>
        </is>
      </c>
      <c r="B5" s="28">
        <f>SUMPRODUCT(('📒 Ledger'!G5:G64="Q1")*('📒 Ledger'!E5:E64))</f>
        <v/>
      </c>
      <c r="C5" s="28">
        <f>SUMPRODUCT(('📒 Ledger'!G5:G64="Q2")*('📒 Ledger'!E5:E64))</f>
        <v/>
      </c>
      <c r="D5" s="28">
        <f>SUMPRODUCT(('📒 Ledger'!G5:G64="Q3")*('📒 Ledger'!E5:E64))</f>
        <v/>
      </c>
      <c r="E5" s="28">
        <f>SUMPRODUCT(('📒 Ledger'!G5:G64="Q4")*('📒 Ledger'!E5:E64))</f>
        <v/>
      </c>
    </row>
    <row r="6">
      <c r="A6" s="29" t="inlineStr">
        <is>
          <t>Total Expenses (from Ledger)</t>
        </is>
      </c>
      <c r="B6" s="30">
        <f>SUMPRODUCT(('📒 Ledger'!G5:G64="Q1")*('📒 Ledger'!F5:F64))</f>
        <v/>
      </c>
      <c r="C6" s="30">
        <f>SUMPRODUCT(('📒 Ledger'!G5:G64="Q2")*('📒 Ledger'!F5:F64))</f>
        <v/>
      </c>
      <c r="D6" s="30">
        <f>SUMPRODUCT(('📒 Ledger'!G5:G64="Q3")*('📒 Ledger'!F5:F64))</f>
        <v/>
      </c>
      <c r="E6" s="30">
        <f>SUMPRODUCT(('📒 Ledger'!G5:G64="Q4")*('📒 Ledger'!F5:F64))</f>
        <v/>
      </c>
    </row>
    <row r="7">
      <c r="A7" s="31" t="inlineStr">
        <is>
          <t>Net Profit</t>
        </is>
      </c>
      <c r="B7" s="32">
        <f>B5-B6</f>
        <v/>
      </c>
      <c r="C7" s="32">
        <f>C5-C6</f>
        <v/>
      </c>
      <c r="D7" s="32">
        <f>D5-D6</f>
        <v/>
      </c>
      <c r="E7" s="32">
        <f>E5-E6</f>
        <v/>
      </c>
    </row>
    <row r="8">
      <c r="A8" s="29" t="inlineStr">
        <is>
          <t>Cumulative Net Profit YTD</t>
        </is>
      </c>
      <c r="B8" s="30">
        <f>B7</f>
        <v/>
      </c>
      <c r="C8" s="30">
        <f>B8+C7</f>
        <v/>
      </c>
      <c r="D8" s="30">
        <f>C8+D7</f>
        <v/>
      </c>
      <c r="E8" s="30">
        <f>D8+E7</f>
        <v/>
      </c>
    </row>
    <row r="9">
      <c r="A9" s="27" t="inlineStr">
        <is>
          <t>20% IRPF on Profit (gross)</t>
        </is>
      </c>
      <c r="B9" s="28">
        <f>MAX(B7*0.2,0)</f>
        <v/>
      </c>
      <c r="C9" s="28">
        <f>MAX(C7*0.2,0)</f>
        <v/>
      </c>
      <c r="D9" s="28">
        <f>MAX(D7*0.2,0)</f>
        <v/>
      </c>
      <c r="E9" s="28">
        <f>MAX(E7*0.2,0)</f>
        <v/>
      </c>
    </row>
    <row r="10">
      <c r="A10" s="29" t="inlineStr">
        <is>
          <t>Previous Quarters Paid</t>
        </is>
      </c>
      <c r="B10" s="30">
        <f>0</f>
        <v/>
      </c>
      <c r="C10" s="30">
        <f>B9</f>
        <v/>
      </c>
      <c r="D10" s="30">
        <f>B9+C9</f>
        <v/>
      </c>
      <c r="E10" s="30">
        <f>B9+C9+D9</f>
        <v/>
      </c>
    </row>
    <row r="11">
      <c r="A11" s="31" t="inlineStr">
        <is>
          <t>Modelo 130 Payment Due</t>
        </is>
      </c>
      <c r="B11" s="33">
        <f>MAX(B9-B10,0)</f>
        <v/>
      </c>
      <c r="C11" s="33">
        <f>MAX(C9-C10,0)</f>
        <v/>
      </c>
      <c r="D11" s="33">
        <f>MAX(D9-D10,0)</f>
        <v/>
      </c>
      <c r="E11" s="33">
        <f>MAX(E9-E10,0)</f>
        <v/>
      </c>
    </row>
    <row r="13" ht="22" customHeight="1">
      <c r="A13" s="16" t="inlineStr">
        <is>
          <t>SOCIAL SECURITY (RETA) — MONTHLY CUOTA</t>
        </is>
      </c>
    </row>
    <row r="14">
      <c r="A14" s="29" t="inlineStr">
        <is>
          <t>Monthly Cuota (tarifa plana year 1)</t>
        </is>
      </c>
      <c r="B14" s="34" t="n">
        <v>80</v>
      </c>
      <c r="C14" s="35" t="inlineStr">
        <is>
          <t>Blue = enter actual amount from bank</t>
        </is>
      </c>
    </row>
    <row r="15">
      <c r="A15" s="27" t="inlineStr">
        <is>
          <t>Months Active This Quarter</t>
        </is>
      </c>
      <c r="B15" s="36" t="n">
        <v>3</v>
      </c>
      <c r="C15" s="35" t="inlineStr">
        <is>
          <t>Adjust for partial quarters</t>
        </is>
      </c>
    </row>
    <row r="16">
      <c r="A16" s="29" t="inlineStr">
        <is>
          <t>Total RETA Paid This Quarter</t>
        </is>
      </c>
      <c r="B16" s="37">
        <f>B14*B15</f>
        <v/>
      </c>
    </row>
    <row r="17">
      <c r="A17" s="27" t="inlineStr">
        <is>
          <t>Annual RETA Estimate</t>
        </is>
      </c>
      <c r="B17" s="38">
        <f>B14*12</f>
        <v/>
      </c>
    </row>
    <row r="20" ht="22" customHeight="1">
      <c r="A20" s="16" t="inlineStr">
        <is>
          <t>FILING DEADLINES</t>
        </is>
      </c>
    </row>
    <row r="21">
      <c r="A21" s="17" t="inlineStr">
        <is>
          <t>Quarter</t>
        </is>
      </c>
      <c r="B21" s="17" t="inlineStr">
        <is>
          <t>Deadline</t>
        </is>
      </c>
      <c r="C21" s="39" t="n"/>
      <c r="D21" s="17" t="inlineStr">
        <is>
          <t>Forms</t>
        </is>
      </c>
      <c r="E21" s="39" t="n"/>
    </row>
    <row r="22">
      <c r="A22" s="31" t="inlineStr">
        <is>
          <t>Q1 (Jan–Mar)</t>
        </is>
      </c>
      <c r="B22" s="40" t="inlineStr">
        <is>
          <t>1–20 April</t>
        </is>
      </c>
      <c r="C22" s="39" t="n"/>
      <c r="D22" s="9" t="inlineStr">
        <is>
          <t>Modelo 130 + 303 (if applicable)</t>
        </is>
      </c>
      <c r="E22" s="39" t="n"/>
    </row>
    <row r="23">
      <c r="A23" s="41" t="inlineStr">
        <is>
          <t>Q2 (Apr–Jun)</t>
        </is>
      </c>
      <c r="B23" s="42" t="inlineStr">
        <is>
          <t>1–20 July</t>
        </is>
      </c>
      <c r="C23" s="39" t="n"/>
      <c r="D23" s="5" t="inlineStr">
        <is>
          <t>Modelo 130 + 303 (if applicable)</t>
        </is>
      </c>
      <c r="E23" s="39" t="n"/>
    </row>
    <row r="24">
      <c r="A24" s="31" t="inlineStr">
        <is>
          <t>Q3 (Jul–Sep)</t>
        </is>
      </c>
      <c r="B24" s="40" t="inlineStr">
        <is>
          <t>1–20 October</t>
        </is>
      </c>
      <c r="C24" s="39" t="n"/>
      <c r="D24" s="9" t="inlineStr">
        <is>
          <t>Modelo 130 + 303 (if applicable)</t>
        </is>
      </c>
      <c r="E24" s="39" t="n"/>
    </row>
    <row r="25">
      <c r="A25" s="41" t="inlineStr">
        <is>
          <t>Q4 (Oct–Dec)</t>
        </is>
      </c>
      <c r="B25" s="42" t="inlineStr">
        <is>
          <t>1–20 January</t>
        </is>
      </c>
      <c r="C25" s="39" t="n"/>
      <c r="D25" s="5" t="inlineStr">
        <is>
          <t>Modelo 130 + 303 (if applicable)</t>
        </is>
      </c>
      <c r="E25" s="39" t="n"/>
    </row>
    <row r="26">
      <c r="A26" s="43" t="inlineStr">
        <is>
          <t>Annual Renta</t>
        </is>
      </c>
      <c r="B26" s="44" t="inlineStr">
        <is>
          <t>April–June 2027</t>
        </is>
      </c>
      <c r="C26" s="39" t="n"/>
      <c r="D26" s="45" t="inlineStr">
        <is>
          <t>Modelo 100 — reconciles all quarterly payments</t>
        </is>
      </c>
      <c r="E26" s="39" t="n"/>
    </row>
    <row r="27">
      <c r="A27" s="43" t="inlineStr">
        <is>
          <t>Modelo 720</t>
        </is>
      </c>
      <c r="B27" s="44" t="inlineStr">
        <is>
          <t>Jan–April 2027</t>
        </is>
      </c>
      <c r="C27" s="39" t="n"/>
      <c r="D27" s="45" t="inlineStr">
        <is>
          <t>Foreign assets &gt;€50k (if applicable)</t>
        </is>
      </c>
      <c r="E27" s="39" t="n"/>
    </row>
  </sheetData>
  <mergeCells count="18">
    <mergeCell ref="D25:E25"/>
    <mergeCell ref="B21:C21"/>
    <mergeCell ref="B24:C24"/>
    <mergeCell ref="A20:E20"/>
    <mergeCell ref="D24:E24"/>
    <mergeCell ref="A2:E2"/>
    <mergeCell ref="B25:C25"/>
    <mergeCell ref="D27:E27"/>
    <mergeCell ref="D23:E23"/>
    <mergeCell ref="B23:C23"/>
    <mergeCell ref="B22:C22"/>
    <mergeCell ref="A1:E1"/>
    <mergeCell ref="D22:E22"/>
    <mergeCell ref="A13:E13"/>
    <mergeCell ref="B26:C26"/>
    <mergeCell ref="B27:C27"/>
    <mergeCell ref="D26:E26"/>
    <mergeCell ref="D21:E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4" customWidth="1" min="4" max="4"/>
  </cols>
  <sheetData>
    <row r="1">
      <c r="A1" s="1" t="inlineStr">
        <is>
          <t>SPAIN INCOME TAX BRACKETS — BALEARES 2026</t>
        </is>
      </c>
    </row>
    <row r="2">
      <c r="A2" s="2" t="inlineStr">
        <is>
          <t>Total tax = State rate + Baleares regional rate applied to same taxable base</t>
        </is>
      </c>
    </row>
    <row r="4">
      <c r="A4" s="46" t="inlineStr">
        <is>
          <t>STATE TAX</t>
        </is>
      </c>
    </row>
    <row r="5">
      <c r="A5" s="17" t="inlineStr">
        <is>
          <t>From (€)</t>
        </is>
      </c>
      <c r="B5" s="17" t="inlineStr">
        <is>
          <t>Up to (€)</t>
        </is>
      </c>
      <c r="C5" s="17" t="inlineStr">
        <is>
          <t>Cumulative Tax (€)</t>
        </is>
      </c>
      <c r="D5" s="17" t="inlineStr">
        <is>
          <t>Marginal Rate</t>
        </is>
      </c>
    </row>
    <row r="6">
      <c r="A6" s="47" t="n">
        <v>0</v>
      </c>
      <c r="B6" s="47" t="n">
        <v>12450</v>
      </c>
      <c r="C6" s="48" t="n">
        <v>1182.75</v>
      </c>
      <c r="D6" s="49" t="n">
        <v>0.095</v>
      </c>
    </row>
    <row r="7">
      <c r="A7" s="50" t="n">
        <v>12450</v>
      </c>
      <c r="B7" s="50" t="n">
        <v>20200</v>
      </c>
      <c r="C7" s="51" t="n">
        <v>2112.75</v>
      </c>
      <c r="D7" s="52" t="n">
        <v>0.12</v>
      </c>
    </row>
    <row r="8">
      <c r="A8" s="47" t="n">
        <v>20200</v>
      </c>
      <c r="B8" s="47" t="n">
        <v>35200</v>
      </c>
      <c r="C8" s="48" t="n">
        <v>4362.75</v>
      </c>
      <c r="D8" s="49" t="n">
        <v>0.15</v>
      </c>
    </row>
    <row r="9">
      <c r="A9" s="50" t="n">
        <v>35200</v>
      </c>
      <c r="B9" s="50" t="n">
        <v>60000</v>
      </c>
      <c r="C9" s="51" t="n">
        <v>8950.75</v>
      </c>
      <c r="D9" s="52" t="n">
        <v>0.185</v>
      </c>
    </row>
    <row r="10">
      <c r="A10" s="47" t="n">
        <v>60000</v>
      </c>
      <c r="B10" s="47" t="n">
        <v>300000</v>
      </c>
      <c r="C10" s="48" t="n">
        <v>62950.75</v>
      </c>
      <c r="D10" s="49" t="n">
        <v>0.225</v>
      </c>
    </row>
    <row r="11">
      <c r="A11" s="50" t="n">
        <v>300000</v>
      </c>
      <c r="B11" s="53" t="inlineStr">
        <is>
          <t>onwards</t>
        </is>
      </c>
      <c r="C11" s="53" t="inlineStr">
        <is>
          <t>—</t>
        </is>
      </c>
      <c r="D11" s="52" t="n">
        <v>0.245</v>
      </c>
    </row>
    <row r="13">
      <c r="A13" s="46" t="inlineStr">
        <is>
          <t>BALEARES REGIONAL TAX</t>
        </is>
      </c>
    </row>
    <row r="14">
      <c r="A14" s="17" t="inlineStr">
        <is>
          <t>From (€)</t>
        </is>
      </c>
      <c r="B14" s="17" t="inlineStr">
        <is>
          <t>Up to (€)</t>
        </is>
      </c>
      <c r="C14" s="17" t="inlineStr">
        <is>
          <t>Cumulative Tax (€)</t>
        </is>
      </c>
      <c r="D14" s="17" t="inlineStr">
        <is>
          <t>Marginal Rate</t>
        </is>
      </c>
    </row>
    <row r="15">
      <c r="A15" s="50" t="n">
        <v>0</v>
      </c>
      <c r="B15" s="50" t="n">
        <v>10000</v>
      </c>
      <c r="C15" s="51" t="n">
        <v>900</v>
      </c>
      <c r="D15" s="52" t="n">
        <v>0.09</v>
      </c>
    </row>
    <row r="16">
      <c r="A16" s="47" t="n">
        <v>10000</v>
      </c>
      <c r="B16" s="47" t="n">
        <v>18000</v>
      </c>
      <c r="C16" s="48" t="n">
        <v>1800</v>
      </c>
      <c r="D16" s="49" t="n">
        <v>0.1125</v>
      </c>
    </row>
    <row r="17">
      <c r="A17" s="50" t="n">
        <v>18000</v>
      </c>
      <c r="B17" s="50" t="n">
        <v>30000</v>
      </c>
      <c r="C17" s="51" t="n">
        <v>3510</v>
      </c>
      <c r="D17" s="52" t="n">
        <v>0.1425</v>
      </c>
    </row>
    <row r="18">
      <c r="A18" s="47" t="n">
        <v>30000</v>
      </c>
      <c r="B18" s="47" t="n">
        <v>48000</v>
      </c>
      <c r="C18" s="48" t="n">
        <v>6660</v>
      </c>
      <c r="D18" s="49" t="n">
        <v>0.175</v>
      </c>
    </row>
    <row r="19">
      <c r="A19" s="50" t="n">
        <v>48000</v>
      </c>
      <c r="B19" s="50" t="n">
        <v>70000</v>
      </c>
      <c r="C19" s="51" t="n">
        <v>10840</v>
      </c>
      <c r="D19" s="52" t="n">
        <v>0.19</v>
      </c>
    </row>
    <row r="20">
      <c r="A20" s="47" t="n">
        <v>70000</v>
      </c>
      <c r="B20" s="47" t="n">
        <v>90000</v>
      </c>
      <c r="C20" s="48" t="n">
        <v>15190</v>
      </c>
      <c r="D20" s="49" t="n">
        <v>0.2175</v>
      </c>
    </row>
    <row r="21">
      <c r="A21" s="50" t="n">
        <v>90000</v>
      </c>
      <c r="B21" s="50" t="n">
        <v>120000</v>
      </c>
      <c r="C21" s="51" t="n">
        <v>22015</v>
      </c>
      <c r="D21" s="52" t="n">
        <v>0.2275</v>
      </c>
    </row>
    <row r="22">
      <c r="A22" s="47" t="n">
        <v>120000</v>
      </c>
      <c r="B22" s="47" t="n">
        <v>175000</v>
      </c>
      <c r="C22" s="48" t="n">
        <v>35077.5</v>
      </c>
      <c r="D22" s="49" t="n">
        <v>0.2375</v>
      </c>
    </row>
    <row r="23">
      <c r="A23" s="54" t="n">
        <v>175000</v>
      </c>
      <c r="B23" s="55" t="inlineStr">
        <is>
          <t>onwards</t>
        </is>
      </c>
      <c r="C23" s="55" t="inlineStr">
        <is>
          <t>—</t>
        </is>
      </c>
      <c r="D23" s="56" t="n">
        <v>0.2475</v>
      </c>
    </row>
    <row r="24">
      <c r="A24" s="57" t="inlineStr">
        <is>
          <t>EXAMPLE: €76,000 TAXABLE INCOME (Income €100k - Expenses €24k)</t>
        </is>
      </c>
    </row>
    <row r="25">
      <c r="A25" s="29" t="inlineStr">
        <is>
          <t>State tax (up to €60k)</t>
        </is>
      </c>
      <c r="B25" s="30" t="n">
        <v>8950.75</v>
      </c>
    </row>
    <row r="26">
      <c r="A26" s="27" t="inlineStr">
        <is>
          <t>State tax on remaining €16k @ 22.5%</t>
        </is>
      </c>
      <c r="B26" s="28">
        <f>16000*0.225</f>
        <v/>
      </c>
    </row>
    <row r="27">
      <c r="A27" s="29" t="inlineStr">
        <is>
          <t>Total state tax</t>
        </is>
      </c>
      <c r="B27" s="30">
        <f>B25+B26</f>
        <v/>
      </c>
    </row>
    <row r="28">
      <c r="A28" s="27" t="inlineStr">
        <is>
          <t>Baleares tax (up to €70k)</t>
        </is>
      </c>
      <c r="B28" s="28" t="n">
        <v>15190</v>
      </c>
    </row>
    <row r="29">
      <c r="A29" s="29" t="inlineStr">
        <is>
          <t>Baleares tax on remaining €6k @ 21.75%</t>
        </is>
      </c>
      <c r="B29" s="30">
        <f>6000*0.2175</f>
        <v/>
      </c>
    </row>
    <row r="30">
      <c r="A30" s="27" t="inlineStr">
        <is>
          <t>Total Baleares tax</t>
        </is>
      </c>
      <c r="B30" s="28">
        <f>B28+B29</f>
        <v/>
      </c>
    </row>
    <row r="31">
      <c r="A31" s="58" t="inlineStr">
        <is>
          <t>TOTAL TAX OWED</t>
        </is>
      </c>
      <c r="B31" s="33">
        <f>B27+B30</f>
        <v/>
      </c>
    </row>
    <row r="32">
      <c r="A32" s="27" t="inlineStr">
        <is>
          <t>Effective rate on €76k</t>
        </is>
      </c>
      <c r="B32" s="59">
        <f>B31/76000</f>
        <v/>
      </c>
    </row>
  </sheetData>
  <mergeCells count="5">
    <mergeCell ref="A1:D1"/>
    <mergeCell ref="A4:D4"/>
    <mergeCell ref="A24:D24"/>
    <mergeCell ref="A2:D2"/>
    <mergeCell ref="A13:D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12" customWidth="1" min="4" max="4"/>
  </cols>
  <sheetData>
    <row r="1">
      <c r="A1" s="1" t="inlineStr">
        <is>
          <t>QUESTIONS FOR GESTOR MEETING</t>
        </is>
      </c>
    </row>
    <row r="2">
      <c r="A2" s="2" t="inlineStr">
        <is>
          <t>Print this sheet and take it to the meeting. Fill in 'Answer / Notes' column.</t>
        </is>
      </c>
    </row>
    <row r="4">
      <c r="A4" s="12" t="inlineStr">
        <is>
          <t>#</t>
        </is>
      </c>
      <c r="B4" s="12" t="inlineStr">
        <is>
          <t>Question</t>
        </is>
      </c>
      <c r="C4" s="12" t="inlineStr">
        <is>
          <t>Answer / Notes</t>
        </is>
      </c>
      <c r="D4" s="12" t="inlineStr">
        <is>
          <t>Done?</t>
        </is>
      </c>
    </row>
    <row r="5" ht="22" customHeight="1">
      <c r="A5" s="60" t="inlineStr"/>
      <c r="B5" s="60" t="inlineStr">
        <is>
          <t>IVA / VAT</t>
        </is>
      </c>
    </row>
    <row r="6" ht="36" customHeight="1">
      <c r="A6" s="61" t="n">
        <v>1</v>
      </c>
      <c r="B6" s="62" t="inlineStr">
        <is>
          <t>Is CNAE 8551 / IAE 826 exempt from IVA under Art.20 Ley del IVA? Under what conditions?</t>
        </is>
      </c>
      <c r="C6" s="63" t="n"/>
      <c r="D6" s="64" t="n"/>
    </row>
    <row r="7" ht="36" customHeight="1">
      <c r="A7" s="65" t="n">
        <v>2</v>
      </c>
      <c r="B7" s="66" t="inlineStr">
        <is>
          <t>If IVA-exempt, do I still need to file Modelo 303? Or any IVA model?</t>
        </is>
      </c>
      <c r="C7" s="63" t="n"/>
      <c r="D7" s="67" t="n"/>
    </row>
    <row r="8" ht="36" customHeight="1">
      <c r="A8" s="61" t="n">
        <v>3</v>
      </c>
      <c r="B8" s="62" t="inlineStr">
        <is>
          <t>If a golf club pays me (empresa), do I charge IVA differently than for a private client?</t>
        </is>
      </c>
      <c r="C8" s="63" t="n"/>
      <c r="D8" s="64" t="n"/>
    </row>
    <row r="9" ht="22" customHeight="1">
      <c r="A9" s="60" t="inlineStr"/>
      <c r="B9" s="60" t="inlineStr">
        <is>
          <t>IRPF / QUARTERLY TAX</t>
        </is>
      </c>
    </row>
    <row r="10" ht="36" customHeight="1">
      <c r="A10" s="61" t="n">
        <v>5</v>
      </c>
      <c r="B10" s="62" t="inlineStr">
        <is>
          <t>Do I apply retención on my invoices? Which clients require it (only empresas)?</t>
        </is>
      </c>
      <c r="C10" s="63" t="n"/>
      <c r="D10" s="64" t="n"/>
    </row>
    <row r="11" ht="36" customHeight="1">
      <c r="A11" s="65" t="n">
        <v>6</v>
      </c>
      <c r="B11" s="66" t="inlineStr">
        <is>
          <t>What retención % applies to my activity code?</t>
        </is>
      </c>
      <c r="C11" s="63" t="n"/>
      <c r="D11" s="67" t="n"/>
    </row>
    <row r="12" ht="36" customHeight="1">
      <c r="A12" s="61" t="n">
        <v>7</v>
      </c>
      <c r="B12" s="62" t="inlineStr">
        <is>
          <t>Walk me through Modelo 130: do I file it myself on Sede Electrónica with Cl@ve?</t>
        </is>
      </c>
      <c r="C12" s="63" t="n"/>
      <c r="D12" s="64" t="n"/>
    </row>
    <row r="13" ht="36" customHeight="1">
      <c r="A13" s="65" t="n">
        <v>8</v>
      </c>
      <c r="B13" s="66" t="inlineStr">
        <is>
          <t>Are there any deductions on Modelo 130 beyond just income minus expenses?</t>
        </is>
      </c>
      <c r="C13" s="63" t="n"/>
      <c r="D13" s="67" t="n"/>
    </row>
    <row r="14" ht="22" customHeight="1">
      <c r="A14" s="60" t="inlineStr"/>
      <c r="B14" s="60" t="inlineStr">
        <is>
          <t>EXPENSES — CONFIRM DEDUCTIBILITY</t>
        </is>
      </c>
    </row>
    <row r="15" ht="36" customHeight="1">
      <c r="A15" s="65" t="n">
        <v>10</v>
      </c>
      <c r="B15" s="66" t="inlineStr">
        <is>
          <t>Golf balls, tees, training aids used for coaching — fully deductible?</t>
        </is>
      </c>
      <c r="C15" s="63" t="n"/>
      <c r="D15" s="67" t="n"/>
    </row>
    <row r="16" ht="36" customHeight="1">
      <c r="A16" s="61" t="n">
        <v>11</v>
      </c>
      <c r="B16" s="62" t="inlineStr">
        <is>
          <t>Transport to courses where I coach (fuel / public transport) — what evidence needed?</t>
        </is>
      </c>
      <c r="C16" s="63" t="n"/>
      <c r="D16" s="64" t="n"/>
    </row>
    <row r="17" ht="36" customHeight="1">
      <c r="A17" s="65" t="n">
        <v>12</v>
      </c>
      <c r="B17" s="66" t="inlineStr">
        <is>
          <t>Mobile phone and internet — what % can I deduct? Do I need a separate work contract?</t>
        </is>
      </c>
      <c r="C17" s="63" t="n"/>
      <c r="D17" s="67" t="n"/>
    </row>
    <row r="18" ht="36" customHeight="1">
      <c r="A18" s="61" t="n">
        <v>13</v>
      </c>
      <c r="B18" s="62" t="inlineStr">
        <is>
          <t>Website hosting, domain (mrmallorcagolf.com) — fully deductible?</t>
        </is>
      </c>
      <c r="C18" s="63" t="n"/>
      <c r="D18" s="64" t="n"/>
    </row>
    <row r="19" ht="36" customHeight="1">
      <c r="A19" s="65" t="n">
        <v>14</v>
      </c>
      <c r="B19" s="66" t="inlineStr">
        <is>
          <t>Professional liability insurance — fully deductible?</t>
        </is>
      </c>
      <c r="C19" s="63" t="n"/>
      <c r="D19" s="67" t="n"/>
    </row>
    <row r="20" ht="36" customHeight="1">
      <c r="A20" s="61" t="n">
        <v>15</v>
      </c>
      <c r="B20" s="62" t="inlineStr">
        <is>
          <t>Home office — can I deduct a % of rent/utilities? How complex is this?</t>
        </is>
      </c>
      <c r="C20" s="63" t="n"/>
      <c r="D20" s="64" t="n"/>
    </row>
    <row r="21" ht="36" customHeight="1">
      <c r="A21" s="65" t="n">
        <v>16</v>
      </c>
      <c r="B21" s="66" t="inlineStr">
        <is>
          <t>Launch monitor / video analysis equipment — one-off deduction or amortised?</t>
        </is>
      </c>
      <c r="C21" s="63" t="n"/>
      <c r="D21" s="67" t="n"/>
    </row>
    <row r="22" ht="22" customHeight="1">
      <c r="A22" s="60" t="inlineStr"/>
      <c r="B22" s="60" t="inlineStr">
        <is>
          <t>RECORD-KEEPING</t>
        </is>
      </c>
    </row>
    <row r="23" ht="36" customHeight="1">
      <c r="A23" s="65" t="n">
        <v>18</v>
      </c>
      <c r="B23" s="66" t="inlineStr">
        <is>
          <t>What must my libro de ingresos y gastos contain? Is a spreadsheet acceptable?</t>
        </is>
      </c>
      <c r="C23" s="63" t="n"/>
      <c r="D23" s="67" t="n"/>
    </row>
    <row r="24" ht="36" customHeight="1">
      <c r="A24" s="61" t="n">
        <v>19</v>
      </c>
      <c r="B24" s="62" t="inlineStr">
        <is>
          <t>How long must I keep receipts and invoices?</t>
        </is>
      </c>
      <c r="C24" s="63" t="n"/>
      <c r="D24" s="64" t="n"/>
    </row>
    <row r="25" ht="36" customHeight="1">
      <c r="A25" s="65" t="n">
        <v>20</v>
      </c>
      <c r="B25" s="66" t="inlineStr">
        <is>
          <t>Receipts from private individuals — do I need their full address on invoices?</t>
        </is>
      </c>
      <c r="C25" s="63" t="n"/>
      <c r="D25" s="67" t="n"/>
    </row>
    <row r="26" ht="22" customHeight="1">
      <c r="A26" s="60" t="inlineStr"/>
      <c r="B26" s="60" t="inlineStr">
        <is>
          <t>INVOICING</t>
        </is>
      </c>
    </row>
    <row r="27" ht="36" customHeight="1">
      <c r="A27" s="65" t="n">
        <v>22</v>
      </c>
      <c r="B27" s="66" t="inlineStr">
        <is>
          <t>For private clients with no NIF — what minimum info is required on the factura?</t>
        </is>
      </c>
      <c r="C27" s="63" t="n"/>
      <c r="D27" s="67" t="n"/>
    </row>
    <row r="28" ht="36" customHeight="1">
      <c r="A28" s="61" t="n">
        <v>23</v>
      </c>
      <c r="B28" s="62" t="inlineStr">
        <is>
          <t>Is a numbered PDF template acceptable, or must I use official software?</t>
        </is>
      </c>
      <c r="C28" s="63" t="n"/>
      <c r="D28" s="64" t="n"/>
    </row>
    <row r="29" ht="36" customHeight="1">
      <c r="A29" s="65" t="n">
        <v>24</v>
      </c>
      <c r="B29" s="66" t="inlineStr">
        <is>
          <t>Cobros via Bizum or cash — any special rules or limits for autónomos?</t>
        </is>
      </c>
      <c r="C29" s="63" t="n"/>
      <c r="D29" s="67" t="n"/>
    </row>
    <row r="30" ht="22" customHeight="1">
      <c r="A30" s="60" t="inlineStr"/>
      <c r="B30" s="60" t="inlineStr">
        <is>
          <t>SOCIAL SECURITY / CUOTA</t>
        </is>
      </c>
    </row>
    <row r="31" ht="36" customHeight="1">
      <c r="A31" s="65" t="n">
        <v>26</v>
      </c>
      <c r="B31" s="66" t="inlineStr">
        <is>
          <t>My tarifa plana started 26/05/2026 — exactly when does it end and what happens next?</t>
        </is>
      </c>
      <c r="C31" s="63" t="n"/>
      <c r="D31" s="67" t="n"/>
    </row>
    <row r="32" ht="36" customHeight="1">
      <c r="A32" s="61" t="n">
        <v>27</v>
      </c>
      <c r="B32" s="62" t="inlineStr">
        <is>
          <t>I declared €670/month. What triggers a change to my cotización base?</t>
        </is>
      </c>
      <c r="C32" s="63" t="n"/>
      <c r="D32" s="64" t="n"/>
    </row>
    <row r="33" ht="36" customHeight="1">
      <c r="A33" s="65" t="n">
        <v>28</v>
      </c>
      <c r="B33" s="66" t="inlineStr">
        <is>
          <t>Cuota Cero Baleares — I applied before 10 June. How does it interact with tarifa plana?</t>
        </is>
      </c>
      <c r="C33" s="63" t="n"/>
      <c r="D33" s="67" t="n"/>
    </row>
    <row r="34" ht="22" customHeight="1">
      <c r="A34" s="60" t="inlineStr"/>
      <c r="B34" s="60" t="inlineStr">
        <is>
          <t>ANNUAL RENTA (MODELO 100)</t>
        </is>
      </c>
    </row>
    <row r="35" ht="36" customHeight="1">
      <c r="A35" s="65" t="n">
        <v>30</v>
      </c>
      <c r="B35" s="66" t="inlineStr">
        <is>
          <t>For annual renta April-June 2027: do my quarterly Modelo 130 payments offset it fully?</t>
        </is>
      </c>
      <c r="C35" s="63" t="n"/>
      <c r="D35" s="67" t="n"/>
    </row>
    <row r="36" ht="36" customHeight="1">
      <c r="A36" s="61" t="n">
        <v>31</v>
      </c>
      <c r="B36" s="62" t="inlineStr">
        <is>
          <t>Any Baleares-specific deductions I should know about for 2026?</t>
        </is>
      </c>
      <c r="C36" s="63" t="n"/>
      <c r="D36" s="64" t="n"/>
    </row>
    <row r="37" ht="36" customHeight="1">
      <c r="A37" s="65" t="n">
        <v>32</v>
      </c>
      <c r="B37" s="66" t="inlineStr">
        <is>
          <t>Do I need Modelo 720 (foreign assets)? What threshold triggers it?</t>
        </is>
      </c>
      <c r="C37" s="63" t="n"/>
      <c r="D37" s="67" t="n"/>
    </row>
    <row r="38" ht="22" customHeight="1">
      <c r="A38" s="60" t="inlineStr"/>
      <c r="B38" s="60" t="inlineStr">
        <is>
          <t>PRACTICALITIES</t>
        </is>
      </c>
    </row>
    <row r="39" ht="36" customHeight="1">
      <c r="A39" s="65" t="n">
        <v>34</v>
      </c>
      <c r="B39" s="66" t="inlineStr">
        <is>
          <t>If I manage my own invoicing and bring you a clean quarterly spreadsheet — what's your fee for filing only?</t>
        </is>
      </c>
      <c r="C39" s="63" t="n"/>
      <c r="D39" s="67" t="n"/>
    </row>
    <row r="40" ht="36" customHeight="1">
      <c r="A40" s="61" t="n">
        <v>35</v>
      </c>
      <c r="B40" s="62" t="inlineStr">
        <is>
          <t>Which platform do you recommend for DIY invoicing (free/cheap)?</t>
        </is>
      </c>
      <c r="C40" s="63" t="n"/>
      <c r="D40" s="64" t="n"/>
    </row>
    <row r="41" ht="36" customHeight="1">
      <c r="A41" s="65" t="n">
        <v>36</v>
      </c>
      <c r="B41" s="66" t="inlineStr">
        <is>
          <t>Any other obligations I've missed for my specific situation?</t>
        </is>
      </c>
      <c r="C41" s="63" t="n"/>
      <c r="D41" s="67" t="n"/>
    </row>
  </sheetData>
  <mergeCells count="10">
    <mergeCell ref="A1:D1"/>
    <mergeCell ref="B5:D5"/>
    <mergeCell ref="B14:D14"/>
    <mergeCell ref="B22:D22"/>
    <mergeCell ref="B26:D26"/>
    <mergeCell ref="B9:D9"/>
    <mergeCell ref="B30:D30"/>
    <mergeCell ref="A2:D2"/>
    <mergeCell ref="B38:D38"/>
    <mergeCell ref="B34:D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2026-05-29T07:15:18Z</dcterms:created>
  <dcterms:modified xmlns:dcterms="http://purl.org/dc/terms/" xmlns:xsi="http://www.w3.org/2001/XMLSchema-instance" xsi:type="dcterms:W3CDTF">2026-05-29T07:15:19Z</dcterms:modified>
</cp:coreProperties>
</file>